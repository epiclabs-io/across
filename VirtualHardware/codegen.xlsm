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peletie\Dropbox\Arduino\libraries\ACross\VirtualHardware\"/>
    </mc:Choice>
  </mc:AlternateContent>
  <bookViews>
    <workbookView xWindow="6510" yWindow="0" windowWidth="10605" windowHeight="10095" activeTab="1"/>
  </bookViews>
  <sheets>
    <sheet name="reptable" sheetId="6" r:id="rId1"/>
    <sheet name="Sheet1" sheetId="10" r:id="rId2"/>
  </sheets>
  <functionGroups builtInGroupCount="18"/>
  <definedNames>
    <definedName name="aaa">#REF!</definedName>
    <definedName name="HardwareInterfaceTable">#REF!</definedName>
    <definedName name="instructiontable">#REF!</definedName>
    <definedName name="reptable">Table1[]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2" i="6" l="1"/>
  <c r="F63" i="6"/>
  <c r="F64" i="6"/>
  <c r="E89" i="6" l="1"/>
  <c r="E90" i="6"/>
  <c r="E91" i="6"/>
  <c r="E92" i="6"/>
  <c r="E93" i="6"/>
  <c r="E94" i="6"/>
  <c r="F134" i="6"/>
  <c r="F89" i="6"/>
  <c r="F92" i="6"/>
  <c r="F69" i="6"/>
  <c r="F76" i="6"/>
  <c r="F75" i="6"/>
  <c r="F74" i="6"/>
  <c r="F133" i="6"/>
  <c r="F135" i="6"/>
  <c r="F91" i="6"/>
  <c r="F70" i="6"/>
  <c r="F94" i="6"/>
  <c r="F137" i="6"/>
  <c r="F132" i="6"/>
  <c r="F90" i="6"/>
  <c r="F136" i="6"/>
  <c r="F93" i="6"/>
  <c r="F68" i="6"/>
  <c r="E67" i="6" l="1"/>
  <c r="E66" i="6"/>
  <c r="E65" i="6"/>
  <c r="E64" i="6"/>
  <c r="E63" i="6"/>
  <c r="E62" i="6"/>
  <c r="F6" i="6"/>
  <c r="F67" i="6"/>
  <c r="F66" i="6"/>
  <c r="F65" i="6"/>
  <c r="E83" i="6" l="1"/>
  <c r="E84" i="6"/>
  <c r="E85" i="6"/>
  <c r="E86" i="6"/>
  <c r="E87" i="6"/>
  <c r="E88" i="6"/>
  <c r="F87" i="6"/>
  <c r="F83" i="6"/>
  <c r="F88" i="6"/>
  <c r="F84" i="6"/>
  <c r="F85" i="6"/>
  <c r="F86" i="6"/>
  <c r="G46" i="6"/>
  <c r="G38" i="6"/>
  <c r="E148" i="6" l="1"/>
  <c r="E167" i="6" l="1"/>
  <c r="E168" i="6"/>
  <c r="E169" i="6"/>
  <c r="E170" i="6"/>
  <c r="E171" i="6"/>
  <c r="E172" i="6"/>
  <c r="F172" i="6"/>
  <c r="G60" i="6"/>
  <c r="F14" i="6"/>
  <c r="F167" i="6"/>
  <c r="F171" i="6"/>
  <c r="F168" i="6"/>
  <c r="G145" i="6"/>
  <c r="F170" i="6"/>
  <c r="F169" i="6"/>
  <c r="G32" i="6"/>
  <c r="G22" i="6"/>
  <c r="G23" i="6"/>
  <c r="G12" i="6"/>
  <c r="G19" i="6"/>
  <c r="G20" i="6"/>
  <c r="G26" i="6"/>
  <c r="G24" i="6"/>
  <c r="G27" i="6"/>
  <c r="G29" i="6"/>
  <c r="G25" i="6"/>
  <c r="G21" i="6"/>
  <c r="G13" i="6"/>
  <c r="G30" i="6"/>
  <c r="G28" i="6"/>
  <c r="E150" i="6" l="1"/>
  <c r="E151" i="6"/>
  <c r="E152" i="6"/>
  <c r="E153" i="6"/>
  <c r="E154" i="6"/>
  <c r="E155" i="6"/>
  <c r="E156" i="6"/>
  <c r="E157" i="6"/>
  <c r="E173" i="6"/>
  <c r="E174" i="6"/>
  <c r="E175" i="6"/>
  <c r="E158" i="6"/>
  <c r="E159" i="6"/>
  <c r="E160" i="6"/>
  <c r="E176" i="6"/>
  <c r="E177" i="6"/>
  <c r="E178" i="6"/>
  <c r="E161" i="6"/>
  <c r="E162" i="6"/>
  <c r="E163" i="6"/>
  <c r="E179" i="6"/>
  <c r="E180" i="6"/>
  <c r="E181" i="6"/>
  <c r="E164" i="6"/>
  <c r="E165" i="6"/>
  <c r="E166" i="6"/>
  <c r="E182" i="6"/>
  <c r="E183" i="6"/>
  <c r="E184" i="6"/>
  <c r="E147" i="6"/>
  <c r="E149" i="6"/>
  <c r="F179" i="6"/>
  <c r="F152" i="6"/>
  <c r="F181" i="6"/>
  <c r="F164" i="6"/>
  <c r="F151" i="6"/>
  <c r="F176" i="6"/>
  <c r="F160" i="6"/>
  <c r="F173" i="6"/>
  <c r="F174" i="6"/>
  <c r="F184" i="6"/>
  <c r="F175" i="6"/>
  <c r="F150" i="6"/>
  <c r="F183" i="6"/>
  <c r="F154" i="6"/>
  <c r="F158" i="6"/>
  <c r="F180" i="6"/>
  <c r="F157" i="6"/>
  <c r="F163" i="6"/>
  <c r="F155" i="6"/>
  <c r="F162" i="6"/>
  <c r="F161" i="6"/>
  <c r="F166" i="6"/>
  <c r="F165" i="6"/>
  <c r="F149" i="6"/>
  <c r="F177" i="6"/>
  <c r="F182" i="6"/>
  <c r="F153" i="6"/>
  <c r="F178" i="6"/>
  <c r="F159" i="6"/>
  <c r="F156" i="6"/>
  <c r="E101" i="6" l="1"/>
  <c r="F101" i="6"/>
  <c r="G18" i="6"/>
  <c r="G15" i="6"/>
  <c r="G17" i="6"/>
  <c r="G16" i="6"/>
  <c r="G14" i="6"/>
  <c r="E138" i="6" l="1"/>
  <c r="E139" i="6"/>
  <c r="E140" i="6"/>
  <c r="E141" i="6"/>
  <c r="E143" i="6"/>
  <c r="E144" i="6"/>
  <c r="E146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00" i="6"/>
  <c r="E98" i="6"/>
  <c r="E99" i="6"/>
  <c r="E96" i="6"/>
  <c r="E97" i="6"/>
  <c r="E82" i="6"/>
  <c r="E81" i="6"/>
  <c r="E80" i="6"/>
  <c r="E79" i="6"/>
  <c r="E78" i="6"/>
  <c r="E77" i="6"/>
  <c r="E72" i="6"/>
  <c r="E73" i="6"/>
  <c r="E71" i="6"/>
  <c r="G56" i="6"/>
  <c r="F127" i="6"/>
  <c r="G51" i="6"/>
  <c r="F124" i="6"/>
  <c r="F112" i="6"/>
  <c r="F105" i="6"/>
  <c r="F139" i="6"/>
  <c r="F102" i="6"/>
  <c r="G144" i="6"/>
  <c r="F128" i="6"/>
  <c r="G33" i="6"/>
  <c r="F126" i="6"/>
  <c r="F73" i="6"/>
  <c r="G31" i="6"/>
  <c r="F106" i="6"/>
  <c r="G53" i="6"/>
  <c r="G10" i="6"/>
  <c r="F119" i="6"/>
  <c r="F123" i="6"/>
  <c r="F129" i="6"/>
  <c r="F104" i="6"/>
  <c r="F100" i="6"/>
  <c r="F98" i="6"/>
  <c r="F110" i="6"/>
  <c r="F111" i="6"/>
  <c r="F82" i="6"/>
  <c r="G55" i="6"/>
  <c r="F80" i="6"/>
  <c r="F121" i="6"/>
  <c r="F118" i="6"/>
  <c r="G57" i="6"/>
  <c r="F114" i="6"/>
  <c r="F108" i="6"/>
  <c r="F109" i="6"/>
  <c r="F79" i="6"/>
  <c r="F125" i="6"/>
  <c r="F78" i="6"/>
  <c r="F140" i="6"/>
  <c r="F113" i="6"/>
  <c r="G50" i="6"/>
  <c r="F72" i="6"/>
  <c r="F115" i="6"/>
  <c r="F77" i="6"/>
  <c r="F117" i="6"/>
  <c r="F131" i="6"/>
  <c r="F138" i="6"/>
  <c r="F116" i="6"/>
  <c r="F71" i="6"/>
  <c r="G11" i="6"/>
  <c r="F107" i="6"/>
  <c r="F103" i="6"/>
  <c r="G141" i="6"/>
  <c r="F120" i="6"/>
  <c r="G52" i="6"/>
  <c r="F130" i="6"/>
  <c r="F122" i="6"/>
  <c r="F99" i="6"/>
  <c r="G143" i="6"/>
  <c r="F81" i="6"/>
  <c r="G4" i="6"/>
  <c r="G36" i="6"/>
  <c r="G41" i="6"/>
  <c r="G54" i="6"/>
  <c r="G61" i="6"/>
  <c r="G34" i="6"/>
  <c r="G5" i="6"/>
  <c r="G40" i="6"/>
  <c r="G35" i="6"/>
  <c r="G6" i="6"/>
  <c r="F8" i="6"/>
  <c r="G105" i="6"/>
  <c r="G148" i="6"/>
  <c r="G86" i="6"/>
  <c r="G161" i="6"/>
  <c r="G65" i="6"/>
  <c r="G102" i="6"/>
  <c r="G62" i="6"/>
  <c r="G179" i="6"/>
  <c r="G83" i="6"/>
  <c r="G8" i="6"/>
  <c r="G158" i="6"/>
  <c r="F7" i="6"/>
  <c r="F9" i="6"/>
  <c r="G123" i="6"/>
  <c r="G186" i="6"/>
  <c r="G75" i="6"/>
  <c r="G97" i="6"/>
  <c r="G115" i="6"/>
  <c r="G119" i="6"/>
  <c r="G118" i="6"/>
  <c r="G138" i="6"/>
  <c r="G152" i="6"/>
  <c r="G164" i="6"/>
  <c r="G176" i="6"/>
  <c r="G116" i="6"/>
  <c r="G165" i="6"/>
  <c r="G174" i="6"/>
  <c r="G185" i="6"/>
  <c r="G98" i="6"/>
  <c r="G120" i="6"/>
  <c r="G113" i="6"/>
  <c r="G69" i="6"/>
  <c r="G63" i="6"/>
  <c r="G68" i="6"/>
  <c r="G131" i="6"/>
  <c r="G172" i="6"/>
  <c r="G127" i="6"/>
  <c r="G37" i="6"/>
  <c r="G117" i="6"/>
  <c r="G39" i="6"/>
  <c r="G42" i="6"/>
  <c r="G121" i="6"/>
  <c r="G156" i="6"/>
  <c r="G89" i="6"/>
  <c r="G90" i="6"/>
  <c r="G142" i="6"/>
  <c r="G147" i="6"/>
  <c r="G128" i="6"/>
  <c r="G169" i="6"/>
  <c r="G160" i="6"/>
  <c r="G101" i="6"/>
  <c r="G140" i="6"/>
  <c r="G181" i="6"/>
  <c r="G114" i="6"/>
  <c r="G85" i="6"/>
  <c r="G108" i="6"/>
  <c r="G109" i="6"/>
  <c r="G155" i="6"/>
  <c r="G162" i="6"/>
  <c r="G168" i="6"/>
  <c r="G149" i="6"/>
  <c r="G173" i="6"/>
  <c r="G47" i="6"/>
  <c r="G166" i="6"/>
  <c r="G106" i="6"/>
  <c r="G84" i="6"/>
  <c r="G99" i="6"/>
  <c r="G9" i="6"/>
  <c r="G64" i="6"/>
  <c r="G100" i="6"/>
  <c r="G96" i="6"/>
  <c r="G182" i="6"/>
  <c r="G126" i="6"/>
  <c r="G136" i="6"/>
  <c r="G167" i="6"/>
  <c r="G129" i="6"/>
  <c r="G170" i="6"/>
  <c r="G112" i="6"/>
  <c r="G135" i="6"/>
  <c r="G80" i="6"/>
  <c r="G132" i="6"/>
  <c r="G58" i="6"/>
  <c r="G48" i="6"/>
  <c r="G92" i="6"/>
  <c r="G159" i="6"/>
  <c r="G150" i="6"/>
  <c r="G45" i="6"/>
  <c r="G153" i="6"/>
  <c r="G139" i="6"/>
  <c r="G77" i="6"/>
  <c r="G95" i="6"/>
  <c r="G66" i="6"/>
  <c r="G180" i="6"/>
  <c r="G44" i="6"/>
  <c r="G124" i="6"/>
  <c r="G110" i="6"/>
  <c r="G67" i="6"/>
  <c r="G82" i="6"/>
  <c r="G73" i="6"/>
  <c r="G88" i="6"/>
  <c r="G151" i="6"/>
  <c r="G175" i="6"/>
  <c r="G163" i="6"/>
  <c r="G76" i="6"/>
  <c r="G93" i="6"/>
  <c r="G49" i="6"/>
  <c r="G81" i="6"/>
  <c r="G74" i="6"/>
  <c r="G59" i="6"/>
  <c r="G71" i="6"/>
  <c r="G87" i="6"/>
  <c r="G72" i="6"/>
  <c r="G177" i="6"/>
  <c r="G43" i="6"/>
  <c r="G171" i="6"/>
  <c r="G183" i="6"/>
  <c r="G7" i="6"/>
  <c r="G133" i="6"/>
  <c r="G78" i="6"/>
  <c r="G94" i="6"/>
  <c r="G130" i="6"/>
  <c r="G79" i="6"/>
  <c r="G103" i="6"/>
  <c r="G91" i="6"/>
  <c r="G70" i="6"/>
  <c r="G184" i="6"/>
  <c r="G146" i="6"/>
  <c r="G137" i="6"/>
  <c r="G122" i="6"/>
  <c r="G178" i="6"/>
  <c r="G125" i="6"/>
  <c r="G107" i="6"/>
  <c r="G104" i="6"/>
  <c r="G134" i="6"/>
  <c r="G157" i="6"/>
  <c r="G111" i="6"/>
  <c r="G154" i="6"/>
</calcChain>
</file>

<file path=xl/sharedStrings.xml><?xml version="1.0" encoding="utf-8"?>
<sst xmlns="http://schemas.openxmlformats.org/spreadsheetml/2006/main" count="724" uniqueCount="329">
  <si>
    <t>NOP</t>
  </si>
  <si>
    <t>MOVMR8</t>
  </si>
  <si>
    <t>Y</t>
  </si>
  <si>
    <t>MOVMR16</t>
  </si>
  <si>
    <t>MOVMR32</t>
  </si>
  <si>
    <t>MOVRM8</t>
  </si>
  <si>
    <t>X</t>
  </si>
  <si>
    <t>MOVRM16</t>
  </si>
  <si>
    <t>MOVRM32</t>
  </si>
  <si>
    <t>MOVRR8</t>
  </si>
  <si>
    <t>MOVRR16</t>
  </si>
  <si>
    <t>MOVRR32</t>
  </si>
  <si>
    <t>PUSH</t>
  </si>
  <si>
    <t>POP</t>
  </si>
  <si>
    <t>ADD8</t>
  </si>
  <si>
    <t>ADD16</t>
  </si>
  <si>
    <t>ADD32</t>
  </si>
  <si>
    <t>ADDF32</t>
  </si>
  <si>
    <t>INC8</t>
  </si>
  <si>
    <t>INC16</t>
  </si>
  <si>
    <t>INC32</t>
  </si>
  <si>
    <t>SUB8</t>
  </si>
  <si>
    <t>SUB16</t>
  </si>
  <si>
    <t>SUB32</t>
  </si>
  <si>
    <t>SUBF32</t>
  </si>
  <si>
    <t>DEC8</t>
  </si>
  <si>
    <t>DEC16</t>
  </si>
  <si>
    <t>DEC32</t>
  </si>
  <si>
    <t>MUL8</t>
  </si>
  <si>
    <t>MUL16</t>
  </si>
  <si>
    <t>MUL32</t>
  </si>
  <si>
    <t>MULF32</t>
  </si>
  <si>
    <t>DIV8</t>
  </si>
  <si>
    <t>DIV16</t>
  </si>
  <si>
    <t>DIV32</t>
  </si>
  <si>
    <t>DIVF32</t>
  </si>
  <si>
    <t>AND8</t>
  </si>
  <si>
    <t>AND16</t>
  </si>
  <si>
    <t>AND32</t>
  </si>
  <si>
    <t>OR8</t>
  </si>
  <si>
    <t>OR16</t>
  </si>
  <si>
    <t>OR32</t>
  </si>
  <si>
    <t>NOT8</t>
  </si>
  <si>
    <t>NOT16</t>
  </si>
  <si>
    <t>NOT32</t>
  </si>
  <si>
    <t>XOR8</t>
  </si>
  <si>
    <t>XOR16</t>
  </si>
  <si>
    <t>XOR32</t>
  </si>
  <si>
    <t>SHL8</t>
  </si>
  <si>
    <t>SHL16</t>
  </si>
  <si>
    <t>SHL32</t>
  </si>
  <si>
    <t>SHR8</t>
  </si>
  <si>
    <t>SHR16</t>
  </si>
  <si>
    <t>SHR32</t>
  </si>
  <si>
    <t>LD8</t>
  </si>
  <si>
    <t>LD16</t>
  </si>
  <si>
    <t>LD32</t>
  </si>
  <si>
    <t>CALL</t>
  </si>
  <si>
    <t>CALLPTR</t>
  </si>
  <si>
    <t>RET</t>
  </si>
  <si>
    <t>SYSCALL</t>
  </si>
  <si>
    <t>CINT</t>
  </si>
  <si>
    <t>CFLOAT</t>
  </si>
  <si>
    <t>EXIT</t>
  </si>
  <si>
    <t>JMP</t>
  </si>
  <si>
    <t>JE8</t>
  </si>
  <si>
    <t>JE16</t>
  </si>
  <si>
    <t>JE32</t>
  </si>
  <si>
    <t>JNE8</t>
  </si>
  <si>
    <t>JNE16</t>
  </si>
  <si>
    <t>JNE32</t>
  </si>
  <si>
    <t>JG8</t>
  </si>
  <si>
    <t>JG16</t>
  </si>
  <si>
    <t>JG32</t>
  </si>
  <si>
    <t>JGS8</t>
  </si>
  <si>
    <t>JGS16</t>
  </si>
  <si>
    <t>JGS32</t>
  </si>
  <si>
    <t>JGE8</t>
  </si>
  <si>
    <t>JGE16</t>
  </si>
  <si>
    <t>JGE32</t>
  </si>
  <si>
    <t>JGES8</t>
  </si>
  <si>
    <t>JGES16</t>
  </si>
  <si>
    <t>JGES32</t>
  </si>
  <si>
    <t>JL8</t>
  </si>
  <si>
    <t>JL16</t>
  </si>
  <si>
    <t>JL32</t>
  </si>
  <si>
    <t>JLS8</t>
  </si>
  <si>
    <t>JLS16</t>
  </si>
  <si>
    <t>JLS32</t>
  </si>
  <si>
    <t>JLE8</t>
  </si>
  <si>
    <t>JLE16</t>
  </si>
  <si>
    <t>JLE32</t>
  </si>
  <si>
    <t>JLES8</t>
  </si>
  <si>
    <t>JLES16</t>
  </si>
  <si>
    <t>JLES32</t>
  </si>
  <si>
    <t>ID</t>
  </si>
  <si>
    <t>MOVAR8</t>
  </si>
  <si>
    <t>MOVAR16</t>
  </si>
  <si>
    <t>MOVAR32</t>
  </si>
  <si>
    <t>MOVRA8</t>
  </si>
  <si>
    <t>MOVRA16</t>
  </si>
  <si>
    <t>MOVRA32</t>
  </si>
  <si>
    <t>MOV</t>
  </si>
  <si>
    <t>ADD</t>
  </si>
  <si>
    <t>SUB</t>
  </si>
  <si>
    <t>ADDF</t>
  </si>
  <si>
    <t>SUBF</t>
  </si>
  <si>
    <t>INC</t>
  </si>
  <si>
    <t>DEC</t>
  </si>
  <si>
    <t>MUL</t>
  </si>
  <si>
    <t>MULF</t>
  </si>
  <si>
    <t>DIV</t>
  </si>
  <si>
    <t>DIVF</t>
  </si>
  <si>
    <t>AND</t>
  </si>
  <si>
    <t>OR</t>
  </si>
  <si>
    <t>NOT</t>
  </si>
  <si>
    <t>XOR</t>
  </si>
  <si>
    <t>SHL</t>
  </si>
  <si>
    <t>SHR</t>
  </si>
  <si>
    <t>LD</t>
  </si>
  <si>
    <t>GOTO</t>
  </si>
  <si>
    <t>IF</t>
  </si>
  <si>
    <t>W</t>
  </si>
  <si>
    <t>\s+</t>
  </si>
  <si>
    <t>seq</t>
  </si>
  <si>
    <t>replacement</t>
  </si>
  <si>
    <t>description</t>
  </si>
  <si>
    <t>compulsory whitespace</t>
  </si>
  <si>
    <t>optional whitespace</t>
  </si>
  <si>
    <t>any register</t>
  </si>
  <si>
    <t>any integer register</t>
  </si>
  <si>
    <t>optional fixed offset</t>
  </si>
  <si>
    <t>(?:\s?)+</t>
  </si>
  <si>
    <t>any instruction</t>
  </si>
  <si>
    <t>Comment</t>
  </si>
  <si>
    <t>N</t>
  </si>
  <si>
    <t>any word register</t>
  </si>
  <si>
    <t>any byte register</t>
  </si>
  <si>
    <t>w</t>
  </si>
  <si>
    <t>MOVMR</t>
  </si>
  <si>
    <t>MOV(dst,src)</t>
  </si>
  <si>
    <t>AI(name)</t>
  </si>
  <si>
    <t>OFFSET(offset)</t>
  </si>
  <si>
    <t>AR(name)</t>
  </si>
  <si>
    <t>test2(j)</t>
  </si>
  <si>
    <t>test3(k)</t>
  </si>
  <si>
    <t>$j+1</t>
  </si>
  <si>
    <t>AB(name)</t>
  </si>
  <si>
    <t>{test1:{test2:$k}}</t>
  </si>
  <si>
    <t>Column1</t>
  </si>
  <si>
    <t>AW(name)</t>
  </si>
  <si>
    <t>MOVAR</t>
  </si>
  <si>
    <t>indexer</t>
  </si>
  <si>
    <t>INDEX(name)</t>
  </si>
  <si>
    <t>\({AI:$name}\)</t>
  </si>
  <si>
    <t>MOVRM</t>
  </si>
  <si>
    <t>MOVRA</t>
  </si>
  <si>
    <t>Unary operator</t>
  </si>
  <si>
    <t>Binary operator</t>
  </si>
  <si>
    <t>BINARY(op,size)</t>
  </si>
  <si>
    <t>UNARY(op,size)</t>
  </si>
  <si>
    <t>Unary read operator</t>
  </si>
  <si>
    <t>UNARYR(op,size)</t>
  </si>
  <si>
    <t>Load Constant</t>
  </si>
  <si>
    <t>LD(size)</t>
  </si>
  <si>
    <t>NATURAL in decimal or hex</t>
  </si>
  <si>
    <t>NATURAL(name)</t>
  </si>
  <si>
    <t>INTEGER in decimal or hex</t>
  </si>
  <si>
    <t>INTEGER(name)</t>
  </si>
  <si>
    <t>family</t>
  </si>
  <si>
    <t>INSTRUCTION</t>
  </si>
  <si>
    <t>LABEL</t>
  </si>
  <si>
    <t>COMMENT</t>
  </si>
  <si>
    <t>O</t>
  </si>
  <si>
    <t>Jump label target</t>
  </si>
  <si>
    <t>Jump label invoke</t>
  </si>
  <si>
    <t>LABELINVOKE</t>
  </si>
  <si>
    <t>(@(?&lt;LABEL&gt;\w+))</t>
  </si>
  <si>
    <t>Label or offset</t>
  </si>
  <si>
    <t>LABELOFFSET</t>
  </si>
  <si>
    <t>(;(?&lt;COMMENT&gt;.+)?)</t>
  </si>
  <si>
    <t>prototype</t>
  </si>
  <si>
    <t>BINARY</t>
  </si>
  <si>
    <t>UNARYR</t>
  </si>
  <si>
    <t>UNARY</t>
  </si>
  <si>
    <t>((0[xX](?&lt;$name_HEX&gt;[0-9a-fA-F]+))|(?&lt;$name_DEC&gt;[0-9]+))</t>
  </si>
  <si>
    <t>((?&lt;$name_SIGN&gt;-|\+)?{w}{NATURAL:$name})</t>
  </si>
  <si>
    <t>({LABELINVOKE}|{INTEGER:OFFSET})</t>
  </si>
  <si>
    <t>{UNARY:CINT,W}</t>
  </si>
  <si>
    <t>{UNARY:CFLOAT,W}</t>
  </si>
  <si>
    <t>IF(size,operand)</t>
  </si>
  <si>
    <t>{UNARYR:EXIT,B}</t>
  </si>
  <si>
    <t>IFS</t>
  </si>
  <si>
    <t>IFS(size,operand)</t>
  </si>
  <si>
    <t>MOVP</t>
  </si>
  <si>
    <t>Section header</t>
  </si>
  <si>
    <t>SECTIONHEADER</t>
  </si>
  <si>
    <t>Code line</t>
  </si>
  <si>
    <t>CODELINE</t>
  </si>
  <si>
    <t>^{w}\.(?&lt;SECTION&gt;data|progmem|const|code){w}{COMMENT}?$</t>
  </si>
  <si>
    <t>DataTypes</t>
  </si>
  <si>
    <t>DATATYPE</t>
  </si>
  <si>
    <t>(?&lt;TYPE&gt;BYTE|CHAR|UINT|INT|ULONG|LONG|FLOAT)</t>
  </si>
  <si>
    <t>Const section line</t>
  </si>
  <si>
    <t>CONSTLINE</t>
  </si>
  <si>
    <t>Constant value</t>
  </si>
  <si>
    <t>CONSTVALUE</t>
  </si>
  <si>
    <t>Floating point number</t>
  </si>
  <si>
    <t>FLOAT(name)</t>
  </si>
  <si>
    <t>Character</t>
  </si>
  <si>
    <t>CHAR(name)</t>
  </si>
  <si>
    <t>Identifier name</t>
  </si>
  <si>
    <t>((?&lt;$name_SIGN&gt;-|\+)?{w}(?&lt;$name_FLOAT&gt;[0-9]+(\.[0-9]+)?))</t>
  </si>
  <si>
    <t>Only a comment</t>
  </si>
  <si>
    <t>ONLYCOMMENT</t>
  </si>
  <si>
    <t>^{w}{COMMENT}$</t>
  </si>
  <si>
    <t>^({INTEGER:VALUE}|{FLOAT:VALUE}|{CHAR:VALUE})$</t>
  </si>
  <si>
    <t>Constant reference</t>
  </si>
  <si>
    <t>('(?&lt;$name_CHAR&gt;([^'"\\])|(?&lt;$name_CHAR_SPECIAL&gt;\\'|\\"|\\\\|\\a|\\b|\\f|\\n|\\r|\\t|\\0|\\v)|(\\x(?&lt;$name_CHAR_HEX&gt;[0-9a-fA-F][0-9a-fA-F])))')</t>
  </si>
  <si>
    <t>IDENTIFIER(name)</t>
  </si>
  <si>
    <t>CONSTANTREFERENCE(name)</t>
  </si>
  <si>
    <t>(\${IDENTIFIER:$name})</t>
  </si>
  <si>
    <t>(?&lt;$name_IDENTIFIER&gt;[a-zA-Z_]\w*)</t>
  </si>
  <si>
    <t>string</t>
  </si>
  <si>
    <t>STRING(name)</t>
  </si>
  <si>
    <t>Data section line</t>
  </si>
  <si>
    <t>DATALINE</t>
  </si>
  <si>
    <t>Variable initial value</t>
  </si>
  <si>
    <t>DATAVALUE</t>
  </si>
  <si>
    <t>^({INTEGER:VALUE}|{FLOAT:VALUE}|{CHAR:VALUE}|{STRING:VALUE})$</t>
  </si>
  <si>
    <t>(\"(?&lt;$name_STRING&gt;[^\"\\]*(?:\\.[^\"\\]*)*)\")</t>
  </si>
  <si>
    <t>\s*</t>
  </si>
  <si>
    <t>Array split</t>
  </si>
  <si>
    <t>ARRAYSPLIT</t>
  </si>
  <si>
    <t>{w},{w}(?=(?:[^']*'(?:\\.|[^'])')*[^']*)</t>
  </si>
  <si>
    <t>Array</t>
  </si>
  <si>
    <t>ARRAY</t>
  </si>
  <si>
    <t>(\{(?&lt;ARRAY_CONTENT&gt;([^\}\']*('[^']+')*)*)\})</t>
  </si>
  <si>
    <t>Variable reference</t>
  </si>
  <si>
    <t>VARIABLEREFERENCE(name)</t>
  </si>
  <si>
    <t>(\&amp;{IDENTIFIER:$name})</t>
  </si>
  <si>
    <t>LEA</t>
  </si>
  <si>
    <t>opcode</t>
  </si>
  <si>
    <t>regex</t>
  </si>
  <si>
    <t>encoding function</t>
  </si>
  <si>
    <t>assembly code instruction</t>
  </si>
  <si>
    <t>regex definition</t>
  </si>
  <si>
    <t>LEPA</t>
  </si>
  <si>
    <t>MOVP8</t>
  </si>
  <si>
    <t>JZ8</t>
  </si>
  <si>
    <t>JZ16</t>
  </si>
  <si>
    <t>JZ32</t>
  </si>
  <si>
    <t>JNZ8</t>
  </si>
  <si>
    <t>JNZ16</t>
  </si>
  <si>
    <t>JNZ32</t>
  </si>
  <si>
    <t>IFZ(size)</t>
  </si>
  <si>
    <t>^({w}{DATATYPE}{W}{IDENTIFIER:VALUE}{w}\={w}({STRING:VALUE}|(?&lt;VALUE&gt;[^;]*)){w}{COMMENT}?)$</t>
  </si>
  <si>
    <t>^({w}{DATATYPE}{W}{IDENTIFIER:VALUE}{w}\={w}(?&lt;VALUE&gt;[^;]+){w}{COMMENT}?)$</t>
  </si>
  <si>
    <t>MOV{W}$dst{w},{w}$src</t>
  </si>
  <si>
    <t>$op{W}{A$size:X_0}</t>
  </si>
  <si>
    <t>$op{W}{A$size:Y_0}</t>
  </si>
  <si>
    <t>$op{W}{A$size:X_0}{w},{w}{A$size:Y_0}</t>
  </si>
  <si>
    <t>LD{W}{A$size:X_0}{w},{w}({INTEGER:VALUE}|{FLOAT:VALUE}|{CHAR:VALUE}|{CONSTANTREFERENCE:VALUE})$</t>
  </si>
  <si>
    <t>test</t>
  </si>
  <si>
    <t>{IFNZ:I}</t>
  </si>
  <si>
    <t>IFNZ(size)</t>
  </si>
  <si>
    <t>(GOTO|JMP){W}{LABELOFFSET}</t>
  </si>
  <si>
    <t>LEA{W}{AI:X_0}{w},{w}{VARIABLEREFERENCE:VARIABLE}</t>
  </si>
  <si>
    <t>IF{W}((\!{w}{A$size:X_0})|({A$size:X_0}{w}(!={w}0{w}))){W}{JMP}</t>
  </si>
  <si>
    <t>IF{W}{A$size:X_0}{w}(=={w}0{w})?{W}{JMP}</t>
  </si>
  <si>
    <t>IFS{W}{A$size:X_0}{w}$operand{w}{A$size:Y_0}{W}{JMP}</t>
  </si>
  <si>
    <t>(IF){w}{A$size:X_0}{w}$operand{w}{A$size:Y_0}{w}{JMP}</t>
  </si>
  <si>
    <t>IFZ</t>
  </si>
  <si>
    <t>MOVP{w}{AB:X_0}{w},{w}\[{w}{AI:Y_0}{w}\]</t>
  </si>
  <si>
    <t>CALL{W}{LABELOFFSET}</t>
  </si>
  <si>
    <t>SYSCALL{W}({NATURAL:NATIVEID}|{CONSTANTREFERENCE:NATIVEID})({w}\({w}({INTEGER:PARAMETER}|{CONSTANTREFERENCE:PARAMETER}){w}\))?</t>
  </si>
  <si>
    <t>{UNARY:POP,I}</t>
  </si>
  <si>
    <t>^({w}{LABEL}?{INSTRUCTION}?{COMMENT}?)$</t>
  </si>
  <si>
    <t>((?&lt;LABEL&gt;\w+){w}:{w})</t>
  </si>
  <si>
    <t>{INTEGER:$offset}?</t>
  </si>
  <si>
    <t>RET({W}{NATURAL:UNWIND})?</t>
  </si>
  <si>
    <t>LEPA{W}{AI:X_0}{w},{w}(({VARIABLEREFERENCE:VARIABLE})|({LABELINVOKE}))</t>
  </si>
  <si>
    <t>CALL{W}{AW:Y_0}</t>
  </si>
  <si>
    <t>MOVDR8</t>
  </si>
  <si>
    <t>MOVDR16</t>
  </si>
  <si>
    <t>MOVDR32</t>
  </si>
  <si>
    <t>MOVRD16</t>
  </si>
  <si>
    <t>MOVRD32</t>
  </si>
  <si>
    <t>MOVRD8</t>
  </si>
  <si>
    <t>MOVFR8</t>
  </si>
  <si>
    <t>MOVFR16</t>
  </si>
  <si>
    <t>MOVFR32</t>
  </si>
  <si>
    <t>MOVRF8</t>
  </si>
  <si>
    <t>MOVRF16</t>
  </si>
  <si>
    <t>MOVRF32</t>
  </si>
  <si>
    <t>OBADDR(bp,offset)</t>
  </si>
  <si>
    <t>base+offset adddress</t>
  </si>
  <si>
    <t>offset address</t>
  </si>
  <si>
    <t>OADDR(offset)</t>
  </si>
  <si>
    <t>(({VARIABLEREFERENCE:VARIABLE})|(\[{w}{OFFSET:$offset}{w}\]))</t>
  </si>
  <si>
    <t>(\[{w}{AI:$bp}{w}{OFFSET:$offset}{w}\])</t>
  </si>
  <si>
    <t>MOVFR</t>
  </si>
  <si>
    <t>MOVFR(size)</t>
  </si>
  <si>
    <t>MOVRF(size)</t>
  </si>
  <si>
    <t>{MOV:{OADDR:OFFSET},{A$size:TARGET_REG}}</t>
  </si>
  <si>
    <t>{MOV:{OADDR:OFFSET}{w}{INDEX:INDEX},{A$size:TARGET_REG}}</t>
  </si>
  <si>
    <t>MOVMR(size)</t>
  </si>
  <si>
    <t>MOVAR(size)</t>
  </si>
  <si>
    <t>{MOV:{OBADDR:BASE,OFFSET}{w}{INDEX:INDEX},{A$size:TARGET_REG}}</t>
  </si>
  <si>
    <t>MOVRM(size)</t>
  </si>
  <si>
    <t>{MOV:{A$size:TARGET_REG},{OADDR:OFFSET}{w}{INDEX:INDEX}}</t>
  </si>
  <si>
    <t>MOVRA(size)</t>
  </si>
  <si>
    <t>{MOV:{A$size:TARGET_REG},{OBADDR:BASE,OFFSET}{w}{INDEX:INDEX}}</t>
  </si>
  <si>
    <t>{MOV:{A$size:TARGET_REG},{OADDR:OFFSET}}</t>
  </si>
  <si>
    <t>MOVBR8</t>
  </si>
  <si>
    <t>MOVBR16</t>
  </si>
  <si>
    <t>MOVBR32</t>
  </si>
  <si>
    <t>MOVRB8</t>
  </si>
  <si>
    <t>MOVRB16</t>
  </si>
  <si>
    <t>MOVRB32</t>
  </si>
  <si>
    <t>MOVBR</t>
  </si>
  <si>
    <t>MOVBR(size)</t>
  </si>
  <si>
    <t>MOVRB(size)</t>
  </si>
  <si>
    <t>{MOV:{OBADDR:BASE,OFFSET},{A$size:TARGET_REG}}</t>
  </si>
  <si>
    <t>{MOV:{A$size:TARGET_REG},{OBADDR:BASE,OFFSET}}</t>
  </si>
  <si>
    <t>SHIFT(op,size)</t>
  </si>
  <si>
    <t>$op{W}{A$size:X_0}{w},{w}{AB:Y_0}</t>
  </si>
  <si>
    <t>{UNARY:PUSH,I}</t>
  </si>
  <si>
    <t>functionName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</si>
</sst>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theme="1"/>
      <name val="Courier New"/>
      <family val="3"/>
    </font>
    <font>
      <sz val="11"/>
      <color theme="1"/>
      <name val="Courier New"/>
      <family val="3"/>
    </font>
    <font>
      <sz val="8"/>
      <color theme="1"/>
      <name val="Courier New"/>
      <family val="3"/>
    </font>
    <font>
      <sz val="8"/>
      <color rgb="FFFFFF00"/>
      <name val="Courier New"/>
      <family val="3"/>
    </font>
    <font>
      <sz val="11"/>
      <color rgb="FF000000"/>
      <name val="Calibri"/>
      <family val="2"/>
    </font>
    <font>
      <sz val="11"/>
      <color theme="1"/>
      <name val="Courier New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NumberFormat="1" applyFont="1"/>
    <xf numFmtId="0" fontId="1" fillId="0" borderId="0" xfId="0" applyNumberFormat="1" applyFont="1"/>
    <xf numFmtId="0" fontId="3" fillId="0" borderId="0" xfId="0" applyFont="1"/>
    <xf numFmtId="0" fontId="1" fillId="0" borderId="0" xfId="0" applyFont="1" applyAlignment="1">
      <alignment vertical="top"/>
    </xf>
    <xf numFmtId="0" fontId="3" fillId="0" borderId="0" xfId="0" applyNumberFormat="1" applyFont="1"/>
    <xf numFmtId="0" fontId="1" fillId="0" borderId="4" xfId="0" applyFont="1" applyBorder="1"/>
    <xf numFmtId="0" fontId="1" fillId="2" borderId="0" xfId="0" applyFont="1" applyFill="1"/>
    <xf numFmtId="0" fontId="4" fillId="2" borderId="0" xfId="0" applyFont="1" applyFill="1" applyAlignment="1">
      <alignment wrapText="1"/>
    </xf>
    <xf numFmtId="0" fontId="5" fillId="2" borderId="0" xfId="0" applyNumberFormat="1" applyFont="1" applyFill="1" applyAlignment="1">
      <alignment wrapText="1"/>
    </xf>
    <xf numFmtId="0" fontId="1" fillId="0" borderId="0" xfId="0" applyFont="1" applyAlignment="1">
      <alignment vertical="top" wrapText="1"/>
    </xf>
    <xf numFmtId="0" fontId="7" fillId="0" borderId="0" xfId="0" applyFont="1"/>
    <xf numFmtId="0" fontId="7" fillId="0" borderId="0" xfId="0" applyFont="1" applyAlignment="1">
      <alignment vertical="top" wrapText="1"/>
    </xf>
    <xf numFmtId="0" fontId="7" fillId="0" borderId="0" xfId="0" applyNumberFormat="1" applyFont="1"/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228600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3:G187" totalsRowCount="1" dataDxfId="14">
  <autoFilter ref="A3:G186"/>
  <tableColumns count="7">
    <tableColumn id="4" name="X" dataDxfId="13" totalsRowDxfId="12"/>
    <tableColumn id="6" name="family" dataDxfId="11" totalsRowDxfId="10"/>
    <tableColumn id="3" name="description" dataDxfId="9" totalsRowDxfId="8"/>
    <tableColumn id="7" name="prototype" dataDxfId="7" totalsRowDxfId="6"/>
    <tableColumn id="1" name="seq" dataDxfId="5" totalsRowDxfId="4"/>
    <tableColumn id="2" name="replacement" dataDxfId="3" totalsRowDxfId="2"/>
    <tableColumn id="5" name="Column1" dataDxfId="1" totalsRowDxfId="0">
      <calculatedColumnFormula>expand(Table1[[#This Row],[replacement]])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ptable"/>
  <dimension ref="A2:I187"/>
  <sheetViews>
    <sheetView zoomScaleNormal="100" workbookViewId="0">
      <pane ySplit="1" topLeftCell="A65" activePane="bottomLeft" state="frozen"/>
      <selection pane="bottomLeft" activeCell="F97" sqref="F97"/>
    </sheetView>
  </sheetViews>
  <sheetFormatPr defaultRowHeight="15" x14ac:dyDescent="0.25"/>
  <cols>
    <col min="1" max="1" width="4" customWidth="1"/>
    <col min="2" max="2" width="12" customWidth="1"/>
    <col min="3" max="3" width="37.42578125" customWidth="1"/>
    <col min="4" max="4" width="10" customWidth="1"/>
    <col min="5" max="5" width="26" customWidth="1"/>
    <col min="6" max="6" width="53.42578125" customWidth="1"/>
    <col min="7" max="7" width="20.42578125" customWidth="1"/>
  </cols>
  <sheetData>
    <row r="2" spans="1:9" x14ac:dyDescent="0.25">
      <c r="I2" s="12" t="s">
        <v>132</v>
      </c>
    </row>
    <row r="3" spans="1:9" x14ac:dyDescent="0.25">
      <c r="A3" t="s">
        <v>6</v>
      </c>
      <c r="B3" t="s">
        <v>169</v>
      </c>
      <c r="C3" t="s">
        <v>126</v>
      </c>
      <c r="D3" t="s">
        <v>181</v>
      </c>
      <c r="E3" t="s">
        <v>124</v>
      </c>
      <c r="F3" t="s">
        <v>125</v>
      </c>
      <c r="G3" t="s">
        <v>149</v>
      </c>
    </row>
    <row r="4" spans="1:9" x14ac:dyDescent="0.25">
      <c r="A4" s="4" t="s">
        <v>135</v>
      </c>
      <c r="B4" s="4"/>
      <c r="C4" s="4" t="s">
        <v>127</v>
      </c>
      <c r="D4" s="4"/>
      <c r="E4" s="4" t="s">
        <v>122</v>
      </c>
      <c r="F4" s="4" t="s">
        <v>123</v>
      </c>
      <c r="G4" s="5" t="str">
        <f>expand(Table1[[#This Row],[replacement]])</f>
        <v>\s+</v>
      </c>
    </row>
    <row r="5" spans="1:9" x14ac:dyDescent="0.25">
      <c r="A5" s="4" t="s">
        <v>135</v>
      </c>
      <c r="B5" s="4"/>
      <c r="C5" s="4" t="s">
        <v>128</v>
      </c>
      <c r="D5" s="4"/>
      <c r="E5" s="4" t="s">
        <v>138</v>
      </c>
      <c r="F5" s="4" t="s">
        <v>231</v>
      </c>
      <c r="G5" s="5" t="str">
        <f>expand(Table1[[#This Row],[replacement]])</f>
        <v>\s*</v>
      </c>
    </row>
    <row r="6" spans="1:9" x14ac:dyDescent="0.25">
      <c r="A6" s="4" t="s">
        <v>135</v>
      </c>
      <c r="B6" s="4"/>
      <c r="C6" s="4" t="s">
        <v>129</v>
      </c>
      <c r="D6" s="4"/>
      <c r="E6" s="4" t="s">
        <v>143</v>
      </c>
      <c r="F6" s="4" t="e">
        <f>"(?&lt;$name&gt;"&amp;join(#REF!,"|",TRUE) &amp;")"</f>
        <v>#VALUE!</v>
      </c>
      <c r="G6" s="5" t="e">
        <f>expand(Table1[[#This Row],[replacement]])</f>
        <v>#VALUE!</v>
      </c>
    </row>
    <row r="7" spans="1:9" x14ac:dyDescent="0.25">
      <c r="A7" s="4" t="s">
        <v>135</v>
      </c>
      <c r="B7" s="4"/>
      <c r="C7" s="4" t="s">
        <v>130</v>
      </c>
      <c r="D7" s="4"/>
      <c r="E7" s="4" t="s">
        <v>141</v>
      </c>
      <c r="F7" s="4" t="e">
        <f>"(?&lt;$name&gt;"&amp;join(#REF!,"|",TRUE,4,"I") &amp;")"</f>
        <v>#VALUE!</v>
      </c>
      <c r="G7" s="5" t="e">
        <f>expand(Table1[[#This Row],[replacement]])</f>
        <v>#VALUE!</v>
      </c>
    </row>
    <row r="8" spans="1:9" x14ac:dyDescent="0.25">
      <c r="A8" s="5" t="s">
        <v>135</v>
      </c>
      <c r="B8" s="5"/>
      <c r="C8" s="5" t="s">
        <v>137</v>
      </c>
      <c r="D8" s="5"/>
      <c r="E8" s="5" t="s">
        <v>147</v>
      </c>
      <c r="F8" s="5" t="e">
        <f>"(?&lt;$name&gt;"&amp;join(#REF!,"|",TRUE,4,"B") &amp; ")"</f>
        <v>#VALUE!</v>
      </c>
      <c r="G8" s="5" t="e">
        <f>expand(Table1[[#This Row],[replacement]])</f>
        <v>#VALUE!</v>
      </c>
    </row>
    <row r="9" spans="1:9" x14ac:dyDescent="0.25">
      <c r="A9" s="5" t="s">
        <v>135</v>
      </c>
      <c r="B9" s="5"/>
      <c r="C9" s="5" t="s">
        <v>136</v>
      </c>
      <c r="D9" s="5"/>
      <c r="E9" s="5" t="s">
        <v>150</v>
      </c>
      <c r="F9" s="5" t="e">
        <f>"(?&lt;$name&gt;"&amp;join(#REF!,"|",FALSE,4,"W")  &amp;")"</f>
        <v>#VALUE!</v>
      </c>
      <c r="G9" s="7" t="e">
        <f>expand(Table1[[#This Row],[replacement]])</f>
        <v>#VALUE!</v>
      </c>
    </row>
    <row r="10" spans="1:9" x14ac:dyDescent="0.25">
      <c r="A10" s="5" t="s">
        <v>135</v>
      </c>
      <c r="B10" s="5"/>
      <c r="C10" s="5" t="s">
        <v>165</v>
      </c>
      <c r="D10" s="5"/>
      <c r="E10" s="4" t="s">
        <v>166</v>
      </c>
      <c r="F10" s="4" t="s">
        <v>185</v>
      </c>
      <c r="G10" s="7" t="str">
        <f>expand(Table1[[#This Row],[replacement]])</f>
        <v>((0[xX](?&lt;$name_HEX&gt;[0-9a-fA-F]+))|(?&lt;$name_DEC&gt;[0-9]+))</v>
      </c>
    </row>
    <row r="11" spans="1:9" x14ac:dyDescent="0.25">
      <c r="A11" s="5" t="s">
        <v>135</v>
      </c>
      <c r="B11" s="5"/>
      <c r="C11" s="4" t="s">
        <v>167</v>
      </c>
      <c r="D11" s="4"/>
      <c r="E11" s="4" t="s">
        <v>168</v>
      </c>
      <c r="F11" s="4" t="s">
        <v>186</v>
      </c>
      <c r="G11" s="7" t="str">
        <f>expand(Table1[[#This Row],[replacement]])</f>
        <v>((?&lt;$name_SIGN&gt;-|\+)?\s*((0[xX](?&lt;$name_HEX&gt;[0-9a-fA-F]+))|(?&lt;$name_DEC&gt;[0-9]+)))</v>
      </c>
    </row>
    <row r="12" spans="1:9" x14ac:dyDescent="0.25">
      <c r="A12" s="5" t="s">
        <v>135</v>
      </c>
      <c r="B12" s="9"/>
      <c r="C12" s="9" t="s">
        <v>207</v>
      </c>
      <c r="D12" s="9"/>
      <c r="E12" s="9" t="s">
        <v>208</v>
      </c>
      <c r="F12" s="9" t="s">
        <v>212</v>
      </c>
      <c r="G12" s="11" t="str">
        <f>expand(Table1[[#This Row],[replacement]])</f>
        <v>((?&lt;$name_SIGN&gt;-|\+)?\s*(?&lt;$name_FLOAT&gt;[0-9]+(\.[0-9]+)?))</v>
      </c>
    </row>
    <row r="13" spans="1:9" x14ac:dyDescent="0.25">
      <c r="A13" s="9"/>
      <c r="B13" s="9"/>
      <c r="C13" s="9" t="s">
        <v>209</v>
      </c>
      <c r="D13" s="9"/>
      <c r="E13" s="9" t="s">
        <v>210</v>
      </c>
      <c r="F13" s="9" t="s">
        <v>218</v>
      </c>
      <c r="G13" s="11" t="str">
        <f>expand(Table1[[#This Row],[replacement]])</f>
        <v>('(?&lt;$name_CHAR&gt;([^'"\\])|(?&lt;$name_CHAR_SPECIAL&gt;\\'|\\"|\\\\|\\a|\\b|\\f|\\n|\\r|\\t|\\0|\\v)|(\\x(?&lt;$name_CHAR_HEX&gt;[0-9a-fA-F][0-9a-fA-F])))')</v>
      </c>
    </row>
    <row r="14" spans="1:9" x14ac:dyDescent="0.25">
      <c r="A14" s="5" t="s">
        <v>135</v>
      </c>
      <c r="B14" s="5"/>
      <c r="C14" s="5" t="s">
        <v>133</v>
      </c>
      <c r="D14" s="5"/>
      <c r="E14" s="5" t="s">
        <v>170</v>
      </c>
      <c r="F14" s="5" t="e">
        <f>"(?&lt;CONTENT&gt;(?&lt;INSTRUCTION&gt;"&amp;join(#REF!,"|")&amp;"){w}[^;]*)"</f>
        <v>#VALUE!</v>
      </c>
      <c r="G14" s="7" t="e">
        <f>expand(Table1[[#This Row],[replacement]])</f>
        <v>#VALUE!</v>
      </c>
    </row>
    <row r="15" spans="1:9" x14ac:dyDescent="0.25">
      <c r="A15" s="5" t="s">
        <v>135</v>
      </c>
      <c r="B15" s="5"/>
      <c r="C15" s="4" t="s">
        <v>174</v>
      </c>
      <c r="D15" s="4"/>
      <c r="E15" s="5" t="s">
        <v>171</v>
      </c>
      <c r="F15" s="4" t="s">
        <v>278</v>
      </c>
      <c r="G15" s="7" t="str">
        <f>expand(Table1[[#This Row],[replacement]])</f>
        <v>((?&lt;LABEL&gt;\w+)\s*:\s*)</v>
      </c>
    </row>
    <row r="16" spans="1:9" x14ac:dyDescent="0.25">
      <c r="A16" s="4" t="s">
        <v>135</v>
      </c>
      <c r="B16" s="4"/>
      <c r="C16" s="4" t="s">
        <v>175</v>
      </c>
      <c r="D16" s="4"/>
      <c r="E16" s="4" t="s">
        <v>176</v>
      </c>
      <c r="F16" s="4" t="s">
        <v>177</v>
      </c>
      <c r="G16" s="8" t="str">
        <f>expand(Table1[[#This Row],[replacement]])</f>
        <v>(@(?&lt;LABEL&gt;\w+))</v>
      </c>
    </row>
    <row r="17" spans="1:7" x14ac:dyDescent="0.25">
      <c r="A17" s="4" t="s">
        <v>135</v>
      </c>
      <c r="B17" s="4"/>
      <c r="C17" s="4" t="s">
        <v>178</v>
      </c>
      <c r="D17" s="4"/>
      <c r="E17" s="4" t="s">
        <v>179</v>
      </c>
      <c r="F17" s="4" t="s">
        <v>187</v>
      </c>
      <c r="G17" s="8" t="str">
        <f>expand(Table1[[#This Row],[replacement]])</f>
        <v>((@(?&lt;LABEL&gt;\w+))|((?&lt;OFFSET_SIGN&gt;-|\+)?\s*((0[xX](?&lt;OFFSET_HEX&gt;[0-9a-fA-F]+))|(?&lt;OFFSET_DEC&gt;[0-9]+))))</v>
      </c>
    </row>
    <row r="18" spans="1:7" x14ac:dyDescent="0.25">
      <c r="A18" s="4" t="s">
        <v>2</v>
      </c>
      <c r="B18" s="5"/>
      <c r="C18" s="5" t="s">
        <v>134</v>
      </c>
      <c r="D18" s="5"/>
      <c r="E18" s="5" t="s">
        <v>172</v>
      </c>
      <c r="F18" s="4" t="s">
        <v>180</v>
      </c>
      <c r="G18" s="7" t="str">
        <f>expand(Table1[[#This Row],[replacement]])</f>
        <v>(;(?&lt;COMMENT&gt;.+)?)</v>
      </c>
    </row>
    <row r="19" spans="1:7" x14ac:dyDescent="0.25">
      <c r="A19" s="9" t="s">
        <v>2</v>
      </c>
      <c r="B19" s="9"/>
      <c r="C19" s="9" t="s">
        <v>213</v>
      </c>
      <c r="D19" s="9"/>
      <c r="E19" s="9" t="s">
        <v>214</v>
      </c>
      <c r="F19" s="9" t="s">
        <v>215</v>
      </c>
      <c r="G19" s="11" t="str">
        <f>expand(Table1[[#This Row],[replacement]])</f>
        <v>^\s*(;(?&lt;COMMENT&gt;.+)?)$</v>
      </c>
    </row>
    <row r="20" spans="1:7" x14ac:dyDescent="0.25">
      <c r="A20" s="4" t="s">
        <v>2</v>
      </c>
      <c r="B20" s="4"/>
      <c r="C20" s="4" t="s">
        <v>195</v>
      </c>
      <c r="D20" s="4"/>
      <c r="E20" s="4" t="s">
        <v>196</v>
      </c>
      <c r="F20" s="4" t="s">
        <v>199</v>
      </c>
      <c r="G20" s="8" t="str">
        <f>expand(Table1[[#This Row],[replacement]])</f>
        <v>^\s*\.(?&lt;SECTION&gt;data|progmem|const|code)\s*(;(?&lt;COMMENT&gt;.+)?)?$</v>
      </c>
    </row>
    <row r="21" spans="1:7" x14ac:dyDescent="0.25">
      <c r="A21" s="5" t="s">
        <v>135</v>
      </c>
      <c r="B21" s="4"/>
      <c r="C21" s="4" t="s">
        <v>200</v>
      </c>
      <c r="D21" s="4"/>
      <c r="E21" s="4" t="s">
        <v>201</v>
      </c>
      <c r="F21" s="4" t="s">
        <v>202</v>
      </c>
      <c r="G21" s="8" t="str">
        <f>expand(Table1[[#This Row],[replacement]])</f>
        <v>(?&lt;TYPE&gt;BYTE|CHAR|UINT|INT|ULONG|LONG|FLOAT)</v>
      </c>
    </row>
    <row r="22" spans="1:7" x14ac:dyDescent="0.25">
      <c r="A22" s="9"/>
      <c r="B22" s="9"/>
      <c r="C22" s="9" t="s">
        <v>211</v>
      </c>
      <c r="D22" s="9"/>
      <c r="E22" s="4" t="s">
        <v>219</v>
      </c>
      <c r="F22" s="4" t="s">
        <v>222</v>
      </c>
      <c r="G22" s="11" t="str">
        <f>expand(Table1[[#This Row],[replacement]])</f>
        <v>(?&lt;$name_IDENTIFIER&gt;[a-zA-Z_]\w*)</v>
      </c>
    </row>
    <row r="23" spans="1:7" x14ac:dyDescent="0.25">
      <c r="A23" s="9"/>
      <c r="B23" s="9"/>
      <c r="C23" s="9" t="s">
        <v>217</v>
      </c>
      <c r="D23" s="9"/>
      <c r="E23" s="4" t="s">
        <v>220</v>
      </c>
      <c r="F23" s="4" t="s">
        <v>221</v>
      </c>
      <c r="G23" s="11" t="str">
        <f>expand(Table1[[#This Row],[replacement]])</f>
        <v>(\$(?&lt;$name_IDENTIFIER&gt;[a-zA-Z_]\w*))</v>
      </c>
    </row>
    <row r="24" spans="1:7" x14ac:dyDescent="0.25">
      <c r="A24" s="9" t="s">
        <v>2</v>
      </c>
      <c r="B24" s="9"/>
      <c r="C24" s="9" t="s">
        <v>205</v>
      </c>
      <c r="D24" s="9"/>
      <c r="E24" s="9" t="s">
        <v>206</v>
      </c>
      <c r="F24" s="9" t="s">
        <v>216</v>
      </c>
      <c r="G24" s="11" t="str">
        <f>expand(Table1[[#This Row],[replacement]])</f>
        <v>^(((?&lt;VALUE_SIGN&gt;-|\+)?\s*((0[xX](?&lt;VALUE_HEX&gt;[0-9a-fA-F]+))|(?&lt;VALUE_DEC&gt;[0-9]+)))|((?&lt;VALUE_SIGN&gt;-|\+)?\s*(?&lt;VALUE_FLOAT&gt;[0-9]+(\.[0-9]+)?))|('(?&lt;VALUE_CHAR&gt;([^'"\\])|(?&lt;VALUE_CHAR_SPECIAL&gt;\\'|\\"|\\\\|\\a|\\b|\\f|\\n|\\r|\\t|\\0|\\v)|(\\x(?&lt;VALUE_CHAR_HEX&gt;[0-9a-fA-F][0-9a-fA-F])))'))$</v>
      </c>
    </row>
    <row r="25" spans="1:7" x14ac:dyDescent="0.25">
      <c r="A25" s="4"/>
      <c r="B25" s="4"/>
      <c r="C25" s="4" t="s">
        <v>238</v>
      </c>
      <c r="D25" s="4"/>
      <c r="E25" s="4" t="s">
        <v>239</v>
      </c>
      <c r="F25" s="4" t="s">
        <v>240</v>
      </c>
      <c r="G25" s="8" t="str">
        <f>expand(Table1[[#This Row],[replacement]])</f>
        <v>(\&amp;(?&lt;$name_IDENTIFIER&gt;[a-zA-Z_]\w*))</v>
      </c>
    </row>
    <row r="26" spans="1:7" x14ac:dyDescent="0.25">
      <c r="A26" s="4" t="s">
        <v>135</v>
      </c>
      <c r="B26" s="4"/>
      <c r="C26" s="4" t="s">
        <v>223</v>
      </c>
      <c r="D26" s="4"/>
      <c r="E26" s="4" t="s">
        <v>224</v>
      </c>
      <c r="F26" s="4" t="s">
        <v>230</v>
      </c>
      <c r="G26" s="8" t="str">
        <f>expand(Table1[[#This Row],[replacement]])</f>
        <v>(\"(?&lt;$name_STRING&gt;[^\"\\]*(?:\\.[^\"\\]*)*)\")</v>
      </c>
    </row>
    <row r="27" spans="1:7" x14ac:dyDescent="0.25">
      <c r="A27" s="4"/>
      <c r="B27" s="4"/>
      <c r="C27" s="4" t="s">
        <v>227</v>
      </c>
      <c r="D27" s="4"/>
      <c r="E27" s="4" t="s">
        <v>228</v>
      </c>
      <c r="F27" s="9" t="s">
        <v>229</v>
      </c>
      <c r="G27" s="8" t="str">
        <f>expand(Table1[[#This Row],[replacement]])</f>
        <v>^(((?&lt;VALUE_SIGN&gt;-|\+)?\s*((0[xX](?&lt;VALUE_HEX&gt;[0-9a-fA-F]+))|(?&lt;VALUE_DEC&gt;[0-9]+)))|((?&lt;VALUE_SIGN&gt;-|\+)?\s*(?&lt;VALUE_FLOAT&gt;[0-9]+(\.[0-9]+)?))|('(?&lt;VALUE_CHAR&gt;([^'"\\])|(?&lt;VALUE_CHAR_SPECIAL&gt;\\'|\\"|\\\\|\\a|\\b|\\f|\\n|\\r|\\t|\\0|\\v)|(\\x(?&lt;VALUE_CHAR_HEX&gt;[0-9a-fA-F][0-9a-fA-F])))')|(\"(?&lt;VALUE_STRING&gt;[^\"\\]*(?:\\.[^\"\\]*)*)\"))$</v>
      </c>
    </row>
    <row r="28" spans="1:7" x14ac:dyDescent="0.25">
      <c r="A28" s="9" t="s">
        <v>2</v>
      </c>
      <c r="B28" s="9"/>
      <c r="C28" s="9" t="s">
        <v>235</v>
      </c>
      <c r="D28" s="9"/>
      <c r="E28" s="9" t="s">
        <v>236</v>
      </c>
      <c r="F28" s="9" t="s">
        <v>237</v>
      </c>
      <c r="G28" s="11" t="str">
        <f>expand(Table1[[#This Row],[replacement]])</f>
        <v>(\{(?&lt;ARRAY_CONTENT&gt;([^\}\']*('[^']+')*)*)\})</v>
      </c>
    </row>
    <row r="29" spans="1:7" x14ac:dyDescent="0.25">
      <c r="A29" s="4" t="s">
        <v>2</v>
      </c>
      <c r="B29" s="4"/>
      <c r="C29" s="4" t="s">
        <v>232</v>
      </c>
      <c r="D29" s="4"/>
      <c r="E29" s="4" t="s">
        <v>233</v>
      </c>
      <c r="F29" s="4" t="s">
        <v>234</v>
      </c>
      <c r="G29" s="8" t="str">
        <f>expand(Table1[[#This Row],[replacement]])</f>
        <v>\s*,\s*(?=(?:[^']*'(?:\\.|[^'])')*[^']*)</v>
      </c>
    </row>
    <row r="30" spans="1:7" x14ac:dyDescent="0.25">
      <c r="A30" s="4" t="s">
        <v>2</v>
      </c>
      <c r="B30" s="4"/>
      <c r="C30" s="4" t="s">
        <v>225</v>
      </c>
      <c r="D30" s="4"/>
      <c r="E30" s="4" t="s">
        <v>226</v>
      </c>
      <c r="F30" s="4" t="s">
        <v>256</v>
      </c>
      <c r="G30" s="8" t="str">
        <f>expand(Table1[[#This Row],[replacement]])</f>
        <v>^(\s*(?&lt;TYPE&gt;BYTE|CHAR|UINT|INT|ULONG|LONG|FLOAT)\s+(?&lt;VALUE_IDENTIFIER&gt;[a-zA-Z_]\w*)\s*\=\s*((\"(?&lt;VALUE_STRING&gt;[^\"\\]*(?:\\.[^\"\\]*)*)\")|(?&lt;VALUE&gt;[^;]*))\s*(;(?&lt;COMMENT&gt;.+)?)?)$</v>
      </c>
    </row>
    <row r="31" spans="1:7" x14ac:dyDescent="0.25">
      <c r="A31" s="4" t="s">
        <v>2</v>
      </c>
      <c r="B31" s="4"/>
      <c r="C31" s="4" t="s">
        <v>203</v>
      </c>
      <c r="D31" s="4"/>
      <c r="E31" s="4" t="s">
        <v>204</v>
      </c>
      <c r="F31" s="4" t="s">
        <v>257</v>
      </c>
      <c r="G31" s="8" t="str">
        <f>expand(Table1[[#This Row],[replacement]])</f>
        <v>^(\s*(?&lt;TYPE&gt;BYTE|CHAR|UINT|INT|ULONG|LONG|FLOAT)\s+(?&lt;VALUE_IDENTIFIER&gt;[a-zA-Z_]\w*)\s*\=\s*(?&lt;VALUE&gt;[^;]+)\s*(;(?&lt;COMMENT&gt;.+)?)?)$</v>
      </c>
    </row>
    <row r="32" spans="1:7" x14ac:dyDescent="0.25">
      <c r="A32" s="5" t="s">
        <v>135</v>
      </c>
      <c r="B32" s="4"/>
      <c r="C32" s="4"/>
      <c r="D32" s="4"/>
      <c r="E32" s="4"/>
      <c r="F32" s="4"/>
      <c r="G32" s="8" t="str">
        <f>expand(Table1[[#This Row],[replacement]])</f>
        <v/>
      </c>
    </row>
    <row r="33" spans="1:7" x14ac:dyDescent="0.25">
      <c r="A33" s="4" t="s">
        <v>2</v>
      </c>
      <c r="B33" s="4"/>
      <c r="C33" s="4" t="s">
        <v>197</v>
      </c>
      <c r="D33" s="5"/>
      <c r="E33" s="4" t="s">
        <v>198</v>
      </c>
      <c r="F33" s="4" t="s">
        <v>277</v>
      </c>
      <c r="G33" s="5" t="e">
        <f>expand(Table1[[#This Row],[replacement]])</f>
        <v>#VALUE!</v>
      </c>
    </row>
    <row r="34" spans="1:7" x14ac:dyDescent="0.25">
      <c r="A34" s="4" t="s">
        <v>135</v>
      </c>
      <c r="B34" s="4"/>
      <c r="C34" s="5"/>
      <c r="D34" s="5"/>
      <c r="E34" s="5" t="s">
        <v>144</v>
      </c>
      <c r="F34" s="5" t="s">
        <v>146</v>
      </c>
      <c r="G34" s="5" t="str">
        <f>expand(Table1[[#This Row],[replacement]])</f>
        <v>$j+1</v>
      </c>
    </row>
    <row r="35" spans="1:7" x14ac:dyDescent="0.25">
      <c r="A35" s="4" t="s">
        <v>135</v>
      </c>
      <c r="B35" s="4"/>
      <c r="C35" s="5"/>
      <c r="D35" s="5"/>
      <c r="E35" s="5" t="s">
        <v>145</v>
      </c>
      <c r="F35" s="5" t="s">
        <v>148</v>
      </c>
      <c r="G35" s="5" t="str">
        <f>expand(Table1[[#This Row],[replacement]])</f>
        <v>can't find macro test1</v>
      </c>
    </row>
    <row r="36" spans="1:7" x14ac:dyDescent="0.25">
      <c r="A36" s="4" t="s">
        <v>135</v>
      </c>
      <c r="B36" s="4"/>
      <c r="C36" s="4" t="s">
        <v>131</v>
      </c>
      <c r="D36" s="4"/>
      <c r="E36" s="4" t="s">
        <v>142</v>
      </c>
      <c r="F36" s="4" t="s">
        <v>279</v>
      </c>
      <c r="G36" s="5" t="str">
        <f>expand(Table1[[#This Row],[replacement]])</f>
        <v>((?&lt;$offset_SIGN&gt;-|\+)?\s*((0[xX](?&lt;$offset_HEX&gt;[0-9a-fA-F]+))|(?&lt;$offset_DEC&gt;[0-9]+)))?</v>
      </c>
    </row>
    <row r="37" spans="1:7" x14ac:dyDescent="0.25">
      <c r="A37" s="4" t="s">
        <v>135</v>
      </c>
      <c r="B37" s="4"/>
      <c r="C37" s="4" t="s">
        <v>296</v>
      </c>
      <c r="D37" s="5"/>
      <c r="E37" s="5" t="s">
        <v>295</v>
      </c>
      <c r="F37" s="4" t="s">
        <v>300</v>
      </c>
      <c r="G37" s="5" t="e">
        <f>expand(Table1[[#This Row],[replacement]])</f>
        <v>#VALUE!</v>
      </c>
    </row>
    <row r="38" spans="1:7" x14ac:dyDescent="0.25">
      <c r="A38" s="4" t="s">
        <v>135</v>
      </c>
      <c r="B38" s="4"/>
      <c r="C38" s="4" t="s">
        <v>297</v>
      </c>
      <c r="D38" s="4"/>
      <c r="E38" s="4" t="s">
        <v>298</v>
      </c>
      <c r="F38" s="4" t="s">
        <v>299</v>
      </c>
      <c r="G38" s="8" t="str">
        <f>expand(Table1[[#This Row],[replacement]])</f>
        <v>(((\&amp;(?&lt;VARIABLE_IDENTIFIER&gt;[a-zA-Z_]\w*)))|(\[\s*((?&lt;$offset_SIGN&gt;-|\+)?\s*((0[xX](?&lt;$offset_HEX&gt;[0-9a-fA-F]+))|(?&lt;$offset_DEC&gt;[0-9]+)))?\s*\]))</v>
      </c>
    </row>
    <row r="39" spans="1:7" x14ac:dyDescent="0.25">
      <c r="A39" s="4" t="s">
        <v>135</v>
      </c>
      <c r="B39" s="4"/>
      <c r="C39" s="5" t="s">
        <v>152</v>
      </c>
      <c r="D39" s="5"/>
      <c r="E39" s="5" t="s">
        <v>153</v>
      </c>
      <c r="F39" s="5" t="s">
        <v>154</v>
      </c>
      <c r="G39" s="5" t="e">
        <f>expand(Table1[[#This Row],[replacement]])</f>
        <v>#VALUE!</v>
      </c>
    </row>
    <row r="40" spans="1:7" x14ac:dyDescent="0.25">
      <c r="A40" s="4" t="s">
        <v>135</v>
      </c>
      <c r="B40" s="4"/>
      <c r="C40" s="4"/>
      <c r="D40" s="4"/>
      <c r="E40" s="4"/>
      <c r="F40" s="4"/>
      <c r="G40" s="5" t="str">
        <f>expand(Table1[[#This Row],[replacement]])</f>
        <v/>
      </c>
    </row>
    <row r="41" spans="1:7" x14ac:dyDescent="0.25">
      <c r="A41" s="4" t="s">
        <v>135</v>
      </c>
      <c r="B41" s="4"/>
      <c r="C41" s="4" t="s">
        <v>102</v>
      </c>
      <c r="D41" s="4"/>
      <c r="E41" s="4" t="s">
        <v>140</v>
      </c>
      <c r="F41" s="4" t="s">
        <v>258</v>
      </c>
      <c r="G41" s="5" t="str">
        <f>expand(Table1[[#This Row],[replacement]])</f>
        <v>MOV\s+$dst\s*,\s*$src</v>
      </c>
    </row>
    <row r="42" spans="1:7" x14ac:dyDescent="0.25">
      <c r="A42" s="4" t="s">
        <v>135</v>
      </c>
      <c r="B42" s="4"/>
      <c r="C42" s="4" t="s">
        <v>139</v>
      </c>
      <c r="D42" s="4"/>
      <c r="E42" s="4" t="s">
        <v>306</v>
      </c>
      <c r="F42" s="4" t="s">
        <v>305</v>
      </c>
      <c r="G42" s="5" t="e">
        <f>expand(Table1[[#This Row],[replacement]])</f>
        <v>#VALUE!</v>
      </c>
    </row>
    <row r="43" spans="1:7" x14ac:dyDescent="0.25">
      <c r="A43" s="4" t="s">
        <v>135</v>
      </c>
      <c r="B43" s="4"/>
      <c r="C43" s="4" t="s">
        <v>151</v>
      </c>
      <c r="D43" s="4"/>
      <c r="E43" s="4" t="s">
        <v>307</v>
      </c>
      <c r="F43" s="4" t="s">
        <v>308</v>
      </c>
      <c r="G43" s="5" t="e">
        <f>expand(Table1[[#This Row],[replacement]])</f>
        <v>#VALUE!</v>
      </c>
    </row>
    <row r="44" spans="1:7" x14ac:dyDescent="0.25">
      <c r="A44" s="4" t="s">
        <v>135</v>
      </c>
      <c r="B44" s="4"/>
      <c r="C44" s="5" t="s">
        <v>155</v>
      </c>
      <c r="D44" s="4"/>
      <c r="E44" s="4" t="s">
        <v>309</v>
      </c>
      <c r="F44" s="4" t="s">
        <v>310</v>
      </c>
      <c r="G44" s="5" t="e">
        <f>expand(Table1[[#This Row],[replacement]])</f>
        <v>#VALUE!</v>
      </c>
    </row>
    <row r="45" spans="1:7" x14ac:dyDescent="0.25">
      <c r="A45" s="4" t="s">
        <v>135</v>
      </c>
      <c r="B45" s="4"/>
      <c r="C45" s="5" t="s">
        <v>156</v>
      </c>
      <c r="D45" s="4"/>
      <c r="E45" s="4" t="s">
        <v>311</v>
      </c>
      <c r="F45" s="4" t="s">
        <v>312</v>
      </c>
      <c r="G45" s="5" t="e">
        <f>expand(Table1[[#This Row],[replacement]])</f>
        <v>#VALUE!</v>
      </c>
    </row>
    <row r="46" spans="1:7" x14ac:dyDescent="0.25">
      <c r="A46" s="4" t="s">
        <v>135</v>
      </c>
      <c r="B46" s="4"/>
      <c r="C46" s="4"/>
      <c r="D46" s="4"/>
      <c r="E46" s="4" t="s">
        <v>302</v>
      </c>
      <c r="F46" s="4" t="s">
        <v>304</v>
      </c>
      <c r="G46" s="5" t="str">
        <f>expand(Table1[[#This Row],[replacement]])</f>
        <v/>
      </c>
    </row>
    <row r="47" spans="1:7" x14ac:dyDescent="0.25">
      <c r="A47" s="4" t="s">
        <v>135</v>
      </c>
      <c r="B47" s="4"/>
      <c r="C47" s="4"/>
      <c r="D47" s="4"/>
      <c r="E47" s="4" t="s">
        <v>303</v>
      </c>
      <c r="F47" s="4" t="s">
        <v>313</v>
      </c>
      <c r="G47" s="5" t="str">
        <f>expand(Table1[[#This Row],[replacement]])</f>
        <v/>
      </c>
    </row>
    <row r="48" spans="1:7" x14ac:dyDescent="0.25">
      <c r="A48" s="4" t="s">
        <v>135</v>
      </c>
      <c r="B48" s="17"/>
      <c r="C48" s="17"/>
      <c r="D48" s="17"/>
      <c r="E48" s="17" t="s">
        <v>321</v>
      </c>
      <c r="F48" s="17" t="s">
        <v>323</v>
      </c>
      <c r="G48" s="19" t="e">
        <f>expand(Table1[[#This Row],[replacement]])</f>
        <v>#VALUE!</v>
      </c>
    </row>
    <row r="49" spans="1:7" x14ac:dyDescent="0.25">
      <c r="A49" s="4" t="s">
        <v>135</v>
      </c>
      <c r="B49" s="17"/>
      <c r="C49" s="17"/>
      <c r="D49" s="17"/>
      <c r="E49" s="17" t="s">
        <v>322</v>
      </c>
      <c r="F49" s="17" t="s">
        <v>324</v>
      </c>
      <c r="G49" s="19" t="e">
        <f>expand(Table1[[#This Row],[replacement]])</f>
        <v>#VALUE!</v>
      </c>
    </row>
    <row r="50" spans="1:7" x14ac:dyDescent="0.25">
      <c r="A50" s="4" t="s">
        <v>135</v>
      </c>
      <c r="B50" s="5"/>
      <c r="C50" s="5" t="s">
        <v>157</v>
      </c>
      <c r="D50" s="5"/>
      <c r="E50" s="5" t="s">
        <v>160</v>
      </c>
      <c r="F50" s="4" t="s">
        <v>259</v>
      </c>
      <c r="G50" s="7" t="str">
        <f>expand(Table1[[#This Row],[replacement]])</f>
        <v>$op\s+</v>
      </c>
    </row>
    <row r="51" spans="1:7" x14ac:dyDescent="0.25">
      <c r="A51" s="4" t="s">
        <v>135</v>
      </c>
      <c r="B51" s="5"/>
      <c r="C51" s="5" t="s">
        <v>161</v>
      </c>
      <c r="D51" s="5"/>
      <c r="E51" s="5" t="s">
        <v>162</v>
      </c>
      <c r="F51" s="4" t="s">
        <v>260</v>
      </c>
      <c r="G51" s="7" t="str">
        <f>expand(Table1[[#This Row],[replacement]])</f>
        <v>$op\s+</v>
      </c>
    </row>
    <row r="52" spans="1:7" x14ac:dyDescent="0.25">
      <c r="A52" s="4" t="s">
        <v>135</v>
      </c>
      <c r="B52" s="5"/>
      <c r="C52" s="5" t="s">
        <v>158</v>
      </c>
      <c r="D52" s="5"/>
      <c r="E52" s="5" t="s">
        <v>159</v>
      </c>
      <c r="F52" s="4" t="s">
        <v>261</v>
      </c>
      <c r="G52" s="7" t="str">
        <f>expand(Table1[[#This Row],[replacement]])</f>
        <v>$op\s+\s*,\s*</v>
      </c>
    </row>
    <row r="53" spans="1:7" x14ac:dyDescent="0.25">
      <c r="A53" s="4" t="s">
        <v>135</v>
      </c>
      <c r="B53" s="5"/>
      <c r="C53" s="5" t="s">
        <v>163</v>
      </c>
      <c r="D53" s="5"/>
      <c r="E53" s="5" t="s">
        <v>164</v>
      </c>
      <c r="F53" s="4" t="s">
        <v>262</v>
      </c>
      <c r="G53" s="7" t="str">
        <f>expand(Table1[[#This Row],[replacement]])</f>
        <v>LD\s+\s*,\s*(((?&lt;VALUE_SIGN&gt;-|\+)?\s*((0[xX](?&lt;VALUE_HEX&gt;[0-9a-fA-F]+))|(?&lt;VALUE_DEC&gt;[0-9]+)))|((?&lt;VALUE_SIGN&gt;-|\+)?\s*(?&lt;VALUE_FLOAT&gt;[0-9]+(\.[0-9]+)?))|('(?&lt;VALUE_CHAR&gt;([^'"\\])|(?&lt;VALUE_CHAR_SPECIAL&gt;\\'|\\"|\\\\|\\a|\\b|\\f|\\n|\\r|\\t|\\0|\\v)|(\\x(?&lt;VALUE_CHAR_HEX&gt;[0-9a-fA-F][0-9a-fA-F])))')|(\$(?&lt;VALUE_IDENTIFIER&gt;[a-zA-Z_]\w*)))$</v>
      </c>
    </row>
    <row r="54" spans="1:7" x14ac:dyDescent="0.25">
      <c r="A54" s="4" t="s">
        <v>135</v>
      </c>
      <c r="B54" s="5"/>
      <c r="C54" s="5"/>
      <c r="D54" s="5"/>
      <c r="E54" s="4" t="s">
        <v>190</v>
      </c>
      <c r="F54" s="4" t="s">
        <v>271</v>
      </c>
      <c r="G54" s="7" t="str">
        <f>expand(Table1[[#This Row],[replacement]])</f>
        <v>(IF)\s*\s*$operand\s*\s*(GOTO|JMP)\s+((@(?&lt;LABEL&gt;\w+))|((?&lt;OFFSET_SIGN&gt;-|\+)?\s*((0[xX](?&lt;OFFSET_HEX&gt;[0-9a-fA-F]+))|(?&lt;OFFSET_DEC&gt;[0-9]+))))</v>
      </c>
    </row>
    <row r="55" spans="1:7" x14ac:dyDescent="0.25">
      <c r="A55" s="4" t="s">
        <v>135</v>
      </c>
      <c r="B55" s="4"/>
      <c r="C55" s="4"/>
      <c r="D55" s="4"/>
      <c r="E55" s="4" t="s">
        <v>193</v>
      </c>
      <c r="F55" s="4" t="s">
        <v>270</v>
      </c>
      <c r="G55" s="8" t="str">
        <f>expand(Table1[[#This Row],[replacement]])</f>
        <v>IFS\s+\s*$operand\s*\s+(GOTO|JMP)\s+((@(?&lt;LABEL&gt;\w+))|((?&lt;OFFSET_SIGN&gt;-|\+)?\s*((0[xX](?&lt;OFFSET_HEX&gt;[0-9a-fA-F]+))|(?&lt;OFFSET_DEC&gt;[0-9]+))))</v>
      </c>
    </row>
    <row r="56" spans="1:7" x14ac:dyDescent="0.25">
      <c r="A56" s="4" t="s">
        <v>135</v>
      </c>
      <c r="B56" s="9"/>
      <c r="C56" s="9"/>
      <c r="D56" s="9"/>
      <c r="E56" s="9" t="s">
        <v>255</v>
      </c>
      <c r="F56" s="9" t="s">
        <v>269</v>
      </c>
      <c r="G56" s="11" t="str">
        <f>expand(Table1[[#This Row],[replacement]])</f>
        <v>IF\s+\s*(==\s*0\s*)?\s+(GOTO|JMP)\s+((@(?&lt;LABEL&gt;\w+))|((?&lt;OFFSET_SIGN&gt;-|\+)?\s*((0[xX](?&lt;OFFSET_HEX&gt;[0-9a-fA-F]+))|(?&lt;OFFSET_DEC&gt;[0-9]+))))</v>
      </c>
    </row>
    <row r="57" spans="1:7" x14ac:dyDescent="0.25">
      <c r="A57" s="4" t="s">
        <v>135</v>
      </c>
      <c r="B57" s="9"/>
      <c r="C57" s="9"/>
      <c r="D57" s="9"/>
      <c r="E57" s="9" t="s">
        <v>265</v>
      </c>
      <c r="F57" s="9" t="s">
        <v>268</v>
      </c>
      <c r="G57" s="11" t="str">
        <f>expand(Table1[[#This Row],[replacement]])</f>
        <v>IF\s+((\!\s*)|(\s*(!=\s*0\s*)))\s+(GOTO|JMP)\s+((@(?&lt;LABEL&gt;\w+))|((?&lt;OFFSET_SIGN&gt;-|\+)?\s*((0[xX](?&lt;OFFSET_HEX&gt;[0-9a-fA-F]+))|(?&lt;OFFSET_DEC&gt;[0-9]+))))</v>
      </c>
    </row>
    <row r="58" spans="1:7" x14ac:dyDescent="0.25">
      <c r="A58" s="17"/>
      <c r="B58" s="17"/>
      <c r="C58" s="17"/>
      <c r="D58" s="17"/>
      <c r="E58" s="17" t="s">
        <v>325</v>
      </c>
      <c r="F58" s="17" t="s">
        <v>326</v>
      </c>
      <c r="G58" s="19" t="e">
        <f>expand(Table1[[#This Row],[replacement]])</f>
        <v>#VALUE!</v>
      </c>
    </row>
    <row r="59" spans="1:7" x14ac:dyDescent="0.25">
      <c r="A59" s="4" t="s">
        <v>135</v>
      </c>
      <c r="B59" s="9"/>
      <c r="C59" s="9"/>
      <c r="D59" s="9"/>
      <c r="E59" s="9" t="s">
        <v>263</v>
      </c>
      <c r="F59" s="9" t="s">
        <v>264</v>
      </c>
      <c r="G59" s="11" t="e">
        <f>expand(Table1[[#This Row],[replacement]])</f>
        <v>#VALUE!</v>
      </c>
    </row>
    <row r="60" spans="1:7" ht="34.5" x14ac:dyDescent="0.25">
      <c r="A60" s="13"/>
      <c r="B60" s="14" t="s">
        <v>245</v>
      </c>
      <c r="C60" s="14" t="s">
        <v>242</v>
      </c>
      <c r="D60" s="14" t="s">
        <v>244</v>
      </c>
      <c r="E60" s="14" t="s">
        <v>243</v>
      </c>
      <c r="F60" s="14" t="s">
        <v>246</v>
      </c>
      <c r="G60" s="15" t="str">
        <f>expand(Table1[[#This Row],[replacement]])</f>
        <v>regex definition</v>
      </c>
    </row>
    <row r="61" spans="1:7" x14ac:dyDescent="0.25">
      <c r="A61" s="4" t="s">
        <v>173</v>
      </c>
      <c r="B61" s="4" t="s">
        <v>0</v>
      </c>
      <c r="C61" s="4" t="s">
        <v>0</v>
      </c>
      <c r="D61" s="4"/>
      <c r="E61" s="4" t="s">
        <v>0</v>
      </c>
      <c r="F61" s="4" t="s">
        <v>0</v>
      </c>
      <c r="G61" s="5" t="str">
        <f>expand(Table1[[#This Row],[replacement]])</f>
        <v>NOP</v>
      </c>
    </row>
    <row r="62" spans="1:7" x14ac:dyDescent="0.25">
      <c r="A62" s="4" t="s">
        <v>173</v>
      </c>
      <c r="B62" s="4" t="s">
        <v>102</v>
      </c>
      <c r="C62" s="5" t="s">
        <v>283</v>
      </c>
      <c r="D62" s="4" t="s">
        <v>184</v>
      </c>
      <c r="E62" s="5" t="str">
        <f>Table1[[#This Row],[description]]</f>
        <v>MOVDR8</v>
      </c>
      <c r="F62" s="16" t="str">
        <f>"{MOV:\[{w}DP{w}\],{A"&amp; getsize(Table1[[#This Row],[seq]])&amp;":TARGET_REG}}"</f>
        <v>{MOV:\[{w}DP{w}\],{AB:TARGET_REG}}</v>
      </c>
      <c r="G62" s="8" t="e">
        <f>expand(Table1[[#This Row],[replacement]])</f>
        <v>#VALUE!</v>
      </c>
    </row>
    <row r="63" spans="1:7" x14ac:dyDescent="0.25">
      <c r="A63" s="4" t="s">
        <v>173</v>
      </c>
      <c r="B63" s="4" t="s">
        <v>102</v>
      </c>
      <c r="C63" s="5" t="s">
        <v>284</v>
      </c>
      <c r="D63" s="4" t="s">
        <v>184</v>
      </c>
      <c r="E63" s="5" t="str">
        <f>Table1[[#This Row],[description]]</f>
        <v>MOVDR16</v>
      </c>
      <c r="F63" s="16" t="str">
        <f>"{MOV:\[{w}DP{w}\],{A"&amp; getsize(Table1[[#This Row],[seq]])&amp;":TARGET_REG}}"</f>
        <v>{MOV:\[{w}DP{w}\],{AI:TARGET_REG}}</v>
      </c>
      <c r="G63" s="8" t="e">
        <f>expand(Table1[[#This Row],[replacement]])</f>
        <v>#VALUE!</v>
      </c>
    </row>
    <row r="64" spans="1:7" x14ac:dyDescent="0.25">
      <c r="A64" s="4" t="s">
        <v>173</v>
      </c>
      <c r="B64" s="4" t="s">
        <v>102</v>
      </c>
      <c r="C64" s="5" t="s">
        <v>285</v>
      </c>
      <c r="D64" s="4" t="s">
        <v>184</v>
      </c>
      <c r="E64" s="5" t="str">
        <f>Table1[[#This Row],[description]]</f>
        <v>MOVDR32</v>
      </c>
      <c r="F64" s="16" t="str">
        <f>"{MOV:\[{w}DP{w}\],{A"&amp; getsize(Table1[[#This Row],[seq]])&amp;":TARGET_REG}}"</f>
        <v>{MOV:\[{w}DP{w}\],{AW:TARGET_REG}}</v>
      </c>
      <c r="G64" s="8" t="e">
        <f>expand(Table1[[#This Row],[replacement]])</f>
        <v>#VALUE!</v>
      </c>
    </row>
    <row r="65" spans="1:7" x14ac:dyDescent="0.25">
      <c r="A65" s="4" t="s">
        <v>173</v>
      </c>
      <c r="B65" s="4" t="s">
        <v>102</v>
      </c>
      <c r="C65" s="5" t="s">
        <v>288</v>
      </c>
      <c r="D65" s="4" t="s">
        <v>184</v>
      </c>
      <c r="E65" s="5" t="str">
        <f>Table1[[#This Row],[description]]</f>
        <v>MOVRD8</v>
      </c>
      <c r="F65" s="16" t="str">
        <f>"{MOV:{A"&amp; getsize(Table1[[#This Row],[seq]])&amp;":TARGET_REG},\[{w}DA{w}\]}"</f>
        <v>{MOV:{AB:TARGET_REG},\[{w}DA{w}\]}</v>
      </c>
      <c r="G65" s="8" t="e">
        <f>expand(Table1[[#This Row],[replacement]])</f>
        <v>#VALUE!</v>
      </c>
    </row>
    <row r="66" spans="1:7" x14ac:dyDescent="0.25">
      <c r="A66" s="4" t="s">
        <v>173</v>
      </c>
      <c r="B66" s="4" t="s">
        <v>102</v>
      </c>
      <c r="C66" s="5" t="s">
        <v>286</v>
      </c>
      <c r="D66" s="4" t="s">
        <v>184</v>
      </c>
      <c r="E66" s="5" t="str">
        <f>Table1[[#This Row],[description]]</f>
        <v>MOVRD16</v>
      </c>
      <c r="F66" s="16" t="str">
        <f>"{MOV:{A"&amp; getsize(Table1[[#This Row],[seq]])&amp;":TARGET_REG},\[{w}DA{w}\]}"</f>
        <v>{MOV:{AI:TARGET_REG},\[{w}DA{w}\]}</v>
      </c>
      <c r="G66" s="8" t="e">
        <f>expand(Table1[[#This Row],[replacement]])</f>
        <v>#VALUE!</v>
      </c>
    </row>
    <row r="67" spans="1:7" x14ac:dyDescent="0.25">
      <c r="A67" s="4" t="s">
        <v>173</v>
      </c>
      <c r="B67" s="4" t="s">
        <v>102</v>
      </c>
      <c r="C67" s="5" t="s">
        <v>287</v>
      </c>
      <c r="D67" s="4" t="s">
        <v>184</v>
      </c>
      <c r="E67" s="5" t="str">
        <f>Table1[[#This Row],[description]]</f>
        <v>MOVRD32</v>
      </c>
      <c r="F67" s="16" t="str">
        <f>"{MOV:{A"&amp; getsize(Table1[[#This Row],[seq]])&amp;":TARGET_REG},\[{w}DA{w}\]}"</f>
        <v>{MOV:{AW:TARGET_REG},\[{w}DA{w}\]}</v>
      </c>
      <c r="G67" s="8" t="e">
        <f>expand(Table1[[#This Row],[replacement]])</f>
        <v>#VALUE!</v>
      </c>
    </row>
    <row r="68" spans="1:7" x14ac:dyDescent="0.25">
      <c r="A68" s="4" t="s">
        <v>173</v>
      </c>
      <c r="B68" s="4" t="s">
        <v>102</v>
      </c>
      <c r="C68" s="5" t="s">
        <v>1</v>
      </c>
      <c r="D68" s="5"/>
      <c r="E68" s="4" t="s">
        <v>1</v>
      </c>
      <c r="F68" s="5" t="str">
        <f>"{"&amp; splitname(Table1[[#This Row],[seq]]) &amp;":"&amp; getsize(Table1[[#This Row],[seq]]) &amp;"}"</f>
        <v>{MOVMR:B}</v>
      </c>
      <c r="G68" s="5" t="e">
        <f>expand(Table1[[#This Row],[replacement]])</f>
        <v>#VALUE!</v>
      </c>
    </row>
    <row r="69" spans="1:7" x14ac:dyDescent="0.25">
      <c r="A69" s="4" t="s">
        <v>173</v>
      </c>
      <c r="B69" s="4" t="s">
        <v>102</v>
      </c>
      <c r="C69" s="5" t="s">
        <v>3</v>
      </c>
      <c r="D69" s="5"/>
      <c r="E69" s="5" t="s">
        <v>3</v>
      </c>
      <c r="F69" s="5" t="str">
        <f>"{"&amp; splitname(Table1[[#This Row],[seq]]) &amp;":"&amp; getsize(Table1[[#This Row],[seq]]) &amp;"}"</f>
        <v>{MOVMR:I}</v>
      </c>
      <c r="G69" s="5" t="e">
        <f>expand(Table1[[#This Row],[replacement]])</f>
        <v>#VALUE!</v>
      </c>
    </row>
    <row r="70" spans="1:7" x14ac:dyDescent="0.25">
      <c r="A70" s="4" t="s">
        <v>173</v>
      </c>
      <c r="B70" s="4" t="s">
        <v>102</v>
      </c>
      <c r="C70" s="5" t="s">
        <v>4</v>
      </c>
      <c r="D70" s="5"/>
      <c r="E70" s="5" t="s">
        <v>4</v>
      </c>
      <c r="F70" s="5" t="str">
        <f>"{"&amp; splitname(Table1[[#This Row],[seq]]) &amp;":"&amp; getsize(Table1[[#This Row],[seq]]) &amp;"}"</f>
        <v>{MOVMR:W}</v>
      </c>
      <c r="G70" s="5" t="e">
        <f>expand(Table1[[#This Row],[replacement]])</f>
        <v>#VALUE!</v>
      </c>
    </row>
    <row r="71" spans="1:7" x14ac:dyDescent="0.25">
      <c r="A71" s="4" t="s">
        <v>173</v>
      </c>
      <c r="B71" s="4" t="s">
        <v>102</v>
      </c>
      <c r="C71" s="5" t="s">
        <v>96</v>
      </c>
      <c r="D71" s="5"/>
      <c r="E71" s="5" t="str">
        <f>Table1[[#This Row],[description]]</f>
        <v>MOVAR8</v>
      </c>
      <c r="F71" s="5" t="str">
        <f>"{"&amp; splitname(Table1[[#This Row],[seq]]) &amp;":"&amp; getsize(Table1[[#This Row],[seq]]) &amp;"}"</f>
        <v>{MOVAR:B}</v>
      </c>
      <c r="G71" s="5" t="e">
        <f>expand(Table1[[#This Row],[replacement]])</f>
        <v>#VALUE!</v>
      </c>
    </row>
    <row r="72" spans="1:7" x14ac:dyDescent="0.25">
      <c r="A72" s="4" t="s">
        <v>173</v>
      </c>
      <c r="B72" s="4" t="s">
        <v>102</v>
      </c>
      <c r="C72" s="5" t="s">
        <v>97</v>
      </c>
      <c r="D72" s="5"/>
      <c r="E72" s="5" t="str">
        <f>Table1[[#This Row],[description]]</f>
        <v>MOVAR16</v>
      </c>
      <c r="F72" s="5" t="str">
        <f>"{"&amp; splitname(Table1[[#This Row],[seq]]) &amp;":"&amp; getsize(Table1[[#This Row],[seq]]) &amp;"}"</f>
        <v>{MOVAR:I}</v>
      </c>
      <c r="G72" s="5" t="e">
        <f>expand(Table1[[#This Row],[replacement]])</f>
        <v>#VALUE!</v>
      </c>
    </row>
    <row r="73" spans="1:7" x14ac:dyDescent="0.25">
      <c r="A73" s="4" t="s">
        <v>173</v>
      </c>
      <c r="B73" s="4" t="s">
        <v>102</v>
      </c>
      <c r="C73" s="5" t="s">
        <v>98</v>
      </c>
      <c r="D73" s="5"/>
      <c r="E73" s="5" t="str">
        <f>Table1[[#This Row],[description]]</f>
        <v>MOVAR32</v>
      </c>
      <c r="F73" s="5" t="str">
        <f>"{"&amp; splitname(Table1[[#This Row],[seq]]) &amp;":"&amp; getsize(Table1[[#This Row],[seq]]) &amp;"}"</f>
        <v>{MOVAR:W}</v>
      </c>
      <c r="G73" s="5" t="e">
        <f>expand(Table1[[#This Row],[replacement]])</f>
        <v>#VALUE!</v>
      </c>
    </row>
    <row r="74" spans="1:7" x14ac:dyDescent="0.25">
      <c r="A74" s="4" t="s">
        <v>173</v>
      </c>
      <c r="B74" s="4" t="s">
        <v>102</v>
      </c>
      <c r="C74" s="5" t="s">
        <v>5</v>
      </c>
      <c r="D74" s="4" t="s">
        <v>139</v>
      </c>
      <c r="E74" s="5" t="s">
        <v>5</v>
      </c>
      <c r="F74" s="5" t="str">
        <f>"{"&amp; splitname(Table1[[#This Row],[seq]]) &amp;":"&amp; getsize(Table1[[#This Row],[seq]]) &amp;"}"</f>
        <v>{MOVRM:B}</v>
      </c>
      <c r="G74" s="5" t="e">
        <f>expand(Table1[[#This Row],[replacement]])</f>
        <v>#VALUE!</v>
      </c>
    </row>
    <row r="75" spans="1:7" x14ac:dyDescent="0.25">
      <c r="A75" s="4" t="s">
        <v>173</v>
      </c>
      <c r="B75" s="4" t="s">
        <v>102</v>
      </c>
      <c r="C75" s="5" t="s">
        <v>7</v>
      </c>
      <c r="D75" s="4" t="s">
        <v>139</v>
      </c>
      <c r="E75" s="5" t="s">
        <v>7</v>
      </c>
      <c r="F75" s="5" t="str">
        <f>"{"&amp; splitname(Table1[[#This Row],[seq]]) &amp;":"&amp; getsize(Table1[[#This Row],[seq]]) &amp;"}"</f>
        <v>{MOVRM:I}</v>
      </c>
      <c r="G75" s="5" t="e">
        <f>expand(Table1[[#This Row],[replacement]])</f>
        <v>#VALUE!</v>
      </c>
    </row>
    <row r="76" spans="1:7" x14ac:dyDescent="0.25">
      <c r="A76" s="4" t="s">
        <v>173</v>
      </c>
      <c r="B76" s="4" t="s">
        <v>102</v>
      </c>
      <c r="C76" s="5" t="s">
        <v>8</v>
      </c>
      <c r="D76" s="4" t="s">
        <v>139</v>
      </c>
      <c r="E76" s="5" t="s">
        <v>8</v>
      </c>
      <c r="F76" s="5" t="str">
        <f>"{"&amp; splitname(Table1[[#This Row],[seq]]) &amp;":"&amp; getsize(Table1[[#This Row],[seq]]) &amp;"}"</f>
        <v>{MOVRM:W}</v>
      </c>
      <c r="G76" s="5" t="e">
        <f>expand(Table1[[#This Row],[replacement]])</f>
        <v>#VALUE!</v>
      </c>
    </row>
    <row r="77" spans="1:7" x14ac:dyDescent="0.25">
      <c r="A77" s="4" t="s">
        <v>173</v>
      </c>
      <c r="B77" s="4" t="s">
        <v>102</v>
      </c>
      <c r="C77" s="5" t="s">
        <v>99</v>
      </c>
      <c r="D77" s="4" t="s">
        <v>151</v>
      </c>
      <c r="E77" s="5" t="str">
        <f>Table1[[#This Row],[description]]</f>
        <v>MOVRA8</v>
      </c>
      <c r="F77" s="5" t="str">
        <f>"{"&amp; splitname(Table1[[#This Row],[seq]]) &amp;":"&amp; getsize(Table1[[#This Row],[seq]]) &amp;"}"</f>
        <v>{MOVRA:B}</v>
      </c>
      <c r="G77" s="5" t="e">
        <f>expand(Table1[[#This Row],[replacement]])</f>
        <v>#VALUE!</v>
      </c>
    </row>
    <row r="78" spans="1:7" x14ac:dyDescent="0.25">
      <c r="A78" s="4" t="s">
        <v>173</v>
      </c>
      <c r="B78" s="4" t="s">
        <v>102</v>
      </c>
      <c r="C78" s="5" t="s">
        <v>100</v>
      </c>
      <c r="D78" s="4" t="s">
        <v>151</v>
      </c>
      <c r="E78" s="5" t="str">
        <f>Table1[[#This Row],[description]]</f>
        <v>MOVRA16</v>
      </c>
      <c r="F78" s="5" t="str">
        <f>"{"&amp; splitname(Table1[[#This Row],[seq]]) &amp;":"&amp; getsize(Table1[[#This Row],[seq]]) &amp;"}"</f>
        <v>{MOVRA:I}</v>
      </c>
      <c r="G78" s="5" t="e">
        <f>expand(Table1[[#This Row],[replacement]])</f>
        <v>#VALUE!</v>
      </c>
    </row>
    <row r="79" spans="1:7" x14ac:dyDescent="0.25">
      <c r="A79" s="4" t="s">
        <v>173</v>
      </c>
      <c r="B79" s="4" t="s">
        <v>102</v>
      </c>
      <c r="C79" s="5" t="s">
        <v>101</v>
      </c>
      <c r="D79" s="4" t="s">
        <v>151</v>
      </c>
      <c r="E79" s="5" t="str">
        <f>Table1[[#This Row],[description]]</f>
        <v>MOVRA32</v>
      </c>
      <c r="F79" s="5" t="str">
        <f>"{"&amp; splitname(Table1[[#This Row],[seq]]) &amp;":"&amp; getsize(Table1[[#This Row],[seq]]) &amp;"}"</f>
        <v>{MOVRA:W}</v>
      </c>
      <c r="G79" s="5" t="e">
        <f>expand(Table1[[#This Row],[replacement]])</f>
        <v>#VALUE!</v>
      </c>
    </row>
    <row r="80" spans="1:7" x14ac:dyDescent="0.25">
      <c r="A80" s="4" t="s">
        <v>173</v>
      </c>
      <c r="B80" s="4" t="s">
        <v>102</v>
      </c>
      <c r="C80" s="5" t="s">
        <v>9</v>
      </c>
      <c r="D80" s="4" t="s">
        <v>182</v>
      </c>
      <c r="E80" s="5" t="str">
        <f>Table1[[#This Row],[description]]</f>
        <v>MOVRR8</v>
      </c>
      <c r="F80" s="6" t="str">
        <f>"{BINARY:MOV,"&amp; getsize(Table1[[#This Row],[seq]]) &amp;"}"</f>
        <v>{BINARY:MOV,B}</v>
      </c>
      <c r="G80" s="5" t="e">
        <f>expand(Table1[[#This Row],[replacement]])</f>
        <v>#VALUE!</v>
      </c>
    </row>
    <row r="81" spans="1:7" x14ac:dyDescent="0.25">
      <c r="A81" s="4" t="s">
        <v>173</v>
      </c>
      <c r="B81" s="4" t="s">
        <v>102</v>
      </c>
      <c r="C81" s="5" t="s">
        <v>10</v>
      </c>
      <c r="D81" s="4" t="s">
        <v>182</v>
      </c>
      <c r="E81" s="5" t="str">
        <f>Table1[[#This Row],[description]]</f>
        <v>MOVRR16</v>
      </c>
      <c r="F81" s="6" t="str">
        <f>"{BINARY:MOV,"&amp; getsize(Table1[[#This Row],[seq]]) &amp;"}"</f>
        <v>{BINARY:MOV,I}</v>
      </c>
      <c r="G81" s="5" t="e">
        <f>expand(Table1[[#This Row],[replacement]])</f>
        <v>#VALUE!</v>
      </c>
    </row>
    <row r="82" spans="1:7" x14ac:dyDescent="0.25">
      <c r="A82" s="4" t="s">
        <v>173</v>
      </c>
      <c r="B82" s="4" t="s">
        <v>102</v>
      </c>
      <c r="C82" s="5" t="s">
        <v>11</v>
      </c>
      <c r="D82" s="4" t="s">
        <v>182</v>
      </c>
      <c r="E82" s="5" t="str">
        <f>Table1[[#This Row],[description]]</f>
        <v>MOVRR32</v>
      </c>
      <c r="F82" s="6" t="str">
        <f>"{BINARY:MOV,"&amp; getsize(Table1[[#This Row],[seq]]) &amp;"}"</f>
        <v>{BINARY:MOV,W}</v>
      </c>
      <c r="G82" s="5" t="e">
        <f>expand(Table1[[#This Row],[replacement]])</f>
        <v>#VALUE!</v>
      </c>
    </row>
    <row r="83" spans="1:7" x14ac:dyDescent="0.25">
      <c r="A83" s="4" t="s">
        <v>173</v>
      </c>
      <c r="B83" s="4" t="s">
        <v>102</v>
      </c>
      <c r="C83" s="4" t="s">
        <v>289</v>
      </c>
      <c r="D83" s="4"/>
      <c r="E83" s="5" t="str">
        <f>Table1[[#This Row],[description]]</f>
        <v>MOVFR8</v>
      </c>
      <c r="F83" s="5" t="str">
        <f>"{"&amp; splitname(Table1[[#This Row],[seq]]) &amp;":"&amp; getsize(Table1[[#This Row],[seq]]) &amp;"}"</f>
        <v>{MOVFR:B}</v>
      </c>
      <c r="G83" s="8" t="e">
        <f>expand(Table1[[#This Row],[replacement]])</f>
        <v>#VALUE!</v>
      </c>
    </row>
    <row r="84" spans="1:7" x14ac:dyDescent="0.25">
      <c r="A84" s="4" t="s">
        <v>173</v>
      </c>
      <c r="B84" s="4" t="s">
        <v>102</v>
      </c>
      <c r="C84" s="5" t="s">
        <v>290</v>
      </c>
      <c r="D84" s="4"/>
      <c r="E84" s="5" t="str">
        <f>Table1[[#This Row],[description]]</f>
        <v>MOVFR16</v>
      </c>
      <c r="F84" s="5" t="str">
        <f>"{"&amp; splitname(Table1[[#This Row],[seq]]) &amp;":"&amp; getsize(Table1[[#This Row],[seq]]) &amp;"}"</f>
        <v>{MOVFR:I}</v>
      </c>
      <c r="G84" s="8" t="e">
        <f>expand(Table1[[#This Row],[replacement]])</f>
        <v>#VALUE!</v>
      </c>
    </row>
    <row r="85" spans="1:7" x14ac:dyDescent="0.25">
      <c r="A85" s="4" t="s">
        <v>173</v>
      </c>
      <c r="B85" s="4" t="s">
        <v>102</v>
      </c>
      <c r="C85" s="5" t="s">
        <v>291</v>
      </c>
      <c r="D85" s="4"/>
      <c r="E85" s="5" t="str">
        <f>Table1[[#This Row],[description]]</f>
        <v>MOVFR32</v>
      </c>
      <c r="F85" s="5" t="str">
        <f>"{"&amp; splitname(Table1[[#This Row],[seq]]) &amp;":"&amp; getsize(Table1[[#This Row],[seq]]) &amp;"}"</f>
        <v>{MOVFR:W}</v>
      </c>
      <c r="G85" s="8" t="e">
        <f>expand(Table1[[#This Row],[replacement]])</f>
        <v>#VALUE!</v>
      </c>
    </row>
    <row r="86" spans="1:7" x14ac:dyDescent="0.25">
      <c r="A86" s="4" t="s">
        <v>173</v>
      </c>
      <c r="B86" s="4" t="s">
        <v>102</v>
      </c>
      <c r="C86" s="5" t="s">
        <v>292</v>
      </c>
      <c r="D86" s="4" t="s">
        <v>301</v>
      </c>
      <c r="E86" s="5" t="str">
        <f>Table1[[#This Row],[description]]</f>
        <v>MOVRF8</v>
      </c>
      <c r="F86" s="5" t="str">
        <f>"{"&amp; splitname(Table1[[#This Row],[seq]]) &amp;":"&amp; getsize(Table1[[#This Row],[seq]]) &amp;"}"</f>
        <v>{MOVRF:B}</v>
      </c>
      <c r="G86" s="8" t="e">
        <f>expand(Table1[[#This Row],[replacement]])</f>
        <v>#VALUE!</v>
      </c>
    </row>
    <row r="87" spans="1:7" x14ac:dyDescent="0.25">
      <c r="A87" s="4" t="s">
        <v>173</v>
      </c>
      <c r="B87" s="4" t="s">
        <v>102</v>
      </c>
      <c r="C87" s="5" t="s">
        <v>293</v>
      </c>
      <c r="D87" s="4" t="s">
        <v>301</v>
      </c>
      <c r="E87" s="5" t="str">
        <f>Table1[[#This Row],[description]]</f>
        <v>MOVRF16</v>
      </c>
      <c r="F87" s="5" t="str">
        <f>"{"&amp; splitname(Table1[[#This Row],[seq]]) &amp;":"&amp; getsize(Table1[[#This Row],[seq]]) &amp;"}"</f>
        <v>{MOVRF:I}</v>
      </c>
      <c r="G87" s="8" t="e">
        <f>expand(Table1[[#This Row],[replacement]])</f>
        <v>#VALUE!</v>
      </c>
    </row>
    <row r="88" spans="1:7" x14ac:dyDescent="0.25">
      <c r="A88" s="4" t="s">
        <v>173</v>
      </c>
      <c r="B88" s="4" t="s">
        <v>102</v>
      </c>
      <c r="C88" s="5" t="s">
        <v>294</v>
      </c>
      <c r="D88" s="4" t="s">
        <v>301</v>
      </c>
      <c r="E88" s="5" t="str">
        <f>Table1[[#This Row],[description]]</f>
        <v>MOVRF32</v>
      </c>
      <c r="F88" s="5" t="str">
        <f>"{"&amp; splitname(Table1[[#This Row],[seq]]) &amp;":"&amp; getsize(Table1[[#This Row],[seq]]) &amp;"}"</f>
        <v>{MOVRF:W}</v>
      </c>
      <c r="G88" s="8" t="e">
        <f>expand(Table1[[#This Row],[replacement]])</f>
        <v>#VALUE!</v>
      </c>
    </row>
    <row r="89" spans="1:7" x14ac:dyDescent="0.25">
      <c r="A89" s="4" t="s">
        <v>173</v>
      </c>
      <c r="B89" s="4" t="s">
        <v>102</v>
      </c>
      <c r="C89" s="5" t="s">
        <v>314</v>
      </c>
      <c r="D89" s="17"/>
      <c r="E89" s="5" t="str">
        <f>Table1[[#This Row],[description]]</f>
        <v>MOVBR8</v>
      </c>
      <c r="F89" s="5" t="str">
        <f>"{"&amp; splitname(Table1[[#This Row],[seq]]) &amp;":"&amp; getsize(Table1[[#This Row],[seq]]) &amp;"}"</f>
        <v>{MOVBR:B}</v>
      </c>
      <c r="G89" s="19" t="e">
        <f>expand(Table1[[#This Row],[replacement]])</f>
        <v>#VALUE!</v>
      </c>
    </row>
    <row r="90" spans="1:7" x14ac:dyDescent="0.25">
      <c r="A90" s="4" t="s">
        <v>173</v>
      </c>
      <c r="B90" s="4" t="s">
        <v>102</v>
      </c>
      <c r="C90" s="5" t="s">
        <v>315</v>
      </c>
      <c r="D90" s="17"/>
      <c r="E90" s="5" t="str">
        <f>Table1[[#This Row],[description]]</f>
        <v>MOVBR16</v>
      </c>
      <c r="F90" s="5" t="str">
        <f>"{"&amp; splitname(Table1[[#This Row],[seq]]) &amp;":"&amp; getsize(Table1[[#This Row],[seq]]) &amp;"}"</f>
        <v>{MOVBR:I}</v>
      </c>
      <c r="G90" s="19" t="e">
        <f>expand(Table1[[#This Row],[replacement]])</f>
        <v>#VALUE!</v>
      </c>
    </row>
    <row r="91" spans="1:7" x14ac:dyDescent="0.25">
      <c r="A91" s="4" t="s">
        <v>173</v>
      </c>
      <c r="B91" s="4" t="s">
        <v>102</v>
      </c>
      <c r="C91" s="5" t="s">
        <v>316</v>
      </c>
      <c r="D91" s="17"/>
      <c r="E91" s="5" t="str">
        <f>Table1[[#This Row],[description]]</f>
        <v>MOVBR32</v>
      </c>
      <c r="F91" s="5" t="str">
        <f>"{"&amp; splitname(Table1[[#This Row],[seq]]) &amp;":"&amp; getsize(Table1[[#This Row],[seq]]) &amp;"}"</f>
        <v>{MOVBR:W}</v>
      </c>
      <c r="G91" s="19" t="e">
        <f>expand(Table1[[#This Row],[replacement]])</f>
        <v>#VALUE!</v>
      </c>
    </row>
    <row r="92" spans="1:7" x14ac:dyDescent="0.25">
      <c r="A92" s="4" t="s">
        <v>173</v>
      </c>
      <c r="B92" s="4" t="s">
        <v>102</v>
      </c>
      <c r="C92" s="17" t="s">
        <v>317</v>
      </c>
      <c r="D92" s="17" t="s">
        <v>320</v>
      </c>
      <c r="E92" s="5" t="str">
        <f>Table1[[#This Row],[description]]</f>
        <v>MOVRB8</v>
      </c>
      <c r="F92" s="5" t="str">
        <f>"{"&amp; splitname(Table1[[#This Row],[seq]]) &amp;":"&amp; getsize(Table1[[#This Row],[seq]]) &amp;"}"</f>
        <v>{MOVRB:B}</v>
      </c>
      <c r="G92" s="19" t="e">
        <f>expand(Table1[[#This Row],[replacement]])</f>
        <v>#VALUE!</v>
      </c>
    </row>
    <row r="93" spans="1:7" x14ac:dyDescent="0.25">
      <c r="A93" s="4" t="s">
        <v>173</v>
      </c>
      <c r="B93" s="4" t="s">
        <v>102</v>
      </c>
      <c r="C93" s="17" t="s">
        <v>318</v>
      </c>
      <c r="D93" s="17" t="s">
        <v>320</v>
      </c>
      <c r="E93" s="5" t="str">
        <f>Table1[[#This Row],[description]]</f>
        <v>MOVRB16</v>
      </c>
      <c r="F93" s="5" t="str">
        <f>"{"&amp; splitname(Table1[[#This Row],[seq]]) &amp;":"&amp; getsize(Table1[[#This Row],[seq]]) &amp;"}"</f>
        <v>{MOVRB:I}</v>
      </c>
      <c r="G93" s="19" t="e">
        <f>expand(Table1[[#This Row],[replacement]])</f>
        <v>#VALUE!</v>
      </c>
    </row>
    <row r="94" spans="1:7" x14ac:dyDescent="0.25">
      <c r="A94" s="4" t="s">
        <v>173</v>
      </c>
      <c r="B94" s="4" t="s">
        <v>102</v>
      </c>
      <c r="C94" s="17" t="s">
        <v>319</v>
      </c>
      <c r="D94" s="17" t="s">
        <v>320</v>
      </c>
      <c r="E94" s="5" t="str">
        <f>Table1[[#This Row],[description]]</f>
        <v>MOVRB32</v>
      </c>
      <c r="F94" s="5" t="str">
        <f>"{"&amp; splitname(Table1[[#This Row],[seq]]) &amp;":"&amp; getsize(Table1[[#This Row],[seq]]) &amp;"}"</f>
        <v>{MOVRB:W}</v>
      </c>
      <c r="G94" s="19" t="e">
        <f>expand(Table1[[#This Row],[replacement]])</f>
        <v>#VALUE!</v>
      </c>
    </row>
    <row r="95" spans="1:7" x14ac:dyDescent="0.25">
      <c r="A95" s="4" t="s">
        <v>173</v>
      </c>
      <c r="B95" s="4" t="s">
        <v>194</v>
      </c>
      <c r="C95" s="4" t="s">
        <v>248</v>
      </c>
      <c r="D95" s="4" t="s">
        <v>182</v>
      </c>
      <c r="E95" s="4" t="s">
        <v>248</v>
      </c>
      <c r="F95" s="10" t="s">
        <v>273</v>
      </c>
      <c r="G95" s="5" t="e">
        <f>expand(Table1[[#This Row],[replacement]])</f>
        <v>#VALUE!</v>
      </c>
    </row>
    <row r="96" spans="1:7" x14ac:dyDescent="0.25">
      <c r="A96" s="4" t="s">
        <v>173</v>
      </c>
      <c r="B96" s="5" t="s">
        <v>12</v>
      </c>
      <c r="C96" s="5" t="s">
        <v>12</v>
      </c>
      <c r="D96" s="4" t="s">
        <v>184</v>
      </c>
      <c r="E96" s="5" t="str">
        <f>Table1[[#This Row],[description]]</f>
        <v>PUSH</v>
      </c>
      <c r="F96" s="16" t="s">
        <v>327</v>
      </c>
      <c r="G96" s="5" t="e">
        <f>expand(Table1[[#This Row],[replacement]])</f>
        <v>#VALUE!</v>
      </c>
    </row>
    <row r="97" spans="1:7" x14ac:dyDescent="0.25">
      <c r="A97" s="4" t="s">
        <v>173</v>
      </c>
      <c r="B97" s="5" t="s">
        <v>13</v>
      </c>
      <c r="C97" s="5" t="s">
        <v>13</v>
      </c>
      <c r="D97" s="4" t="s">
        <v>184</v>
      </c>
      <c r="E97" s="5" t="str">
        <f>Table1[[#This Row],[description]]</f>
        <v>POP</v>
      </c>
      <c r="F97" s="16" t="s">
        <v>276</v>
      </c>
      <c r="G97" s="5" t="e">
        <f>expand(Table1[[#This Row],[replacement]])</f>
        <v>#VALUE!</v>
      </c>
    </row>
    <row r="98" spans="1:7" x14ac:dyDescent="0.25">
      <c r="A98" s="4" t="s">
        <v>173</v>
      </c>
      <c r="B98" s="5" t="s">
        <v>103</v>
      </c>
      <c r="C98" s="5" t="s">
        <v>14</v>
      </c>
      <c r="D98" s="4" t="s">
        <v>182</v>
      </c>
      <c r="E98" s="5" t="str">
        <f>Table1[[#This Row],[description]]</f>
        <v>ADD8</v>
      </c>
      <c r="F98" s="6" t="str">
        <f>"{BINARY:"&amp; splitname(Table1[[#This Row],[seq]]) &amp;","&amp; getsize(Table1[[#This Row],[seq]]) &amp;"}"</f>
        <v>{BINARY:ADD,B}</v>
      </c>
      <c r="G98" s="5" t="e">
        <f>expand(Table1[[#This Row],[replacement]])</f>
        <v>#VALUE!</v>
      </c>
    </row>
    <row r="99" spans="1:7" x14ac:dyDescent="0.25">
      <c r="A99" s="4" t="s">
        <v>173</v>
      </c>
      <c r="B99" s="5" t="s">
        <v>103</v>
      </c>
      <c r="C99" s="5" t="s">
        <v>15</v>
      </c>
      <c r="D99" s="4" t="s">
        <v>182</v>
      </c>
      <c r="E99" s="5" t="str">
        <f>Table1[[#This Row],[description]]</f>
        <v>ADD16</v>
      </c>
      <c r="F99" s="6" t="str">
        <f>"{BINARY:"&amp; splitname(Table1[[#This Row],[seq]]) &amp;","&amp; getsize(Table1[[#This Row],[seq]]) &amp;"}"</f>
        <v>{BINARY:ADD,I}</v>
      </c>
      <c r="G99" s="7" t="e">
        <f>expand(Table1[[#This Row],[replacement]])</f>
        <v>#VALUE!</v>
      </c>
    </row>
    <row r="100" spans="1:7" x14ac:dyDescent="0.25">
      <c r="A100" s="4" t="s">
        <v>173</v>
      </c>
      <c r="B100" s="5" t="s">
        <v>103</v>
      </c>
      <c r="C100" s="5" t="s">
        <v>16</v>
      </c>
      <c r="D100" s="4" t="s">
        <v>182</v>
      </c>
      <c r="E100" s="5" t="str">
        <f>Table1[[#This Row],[description]]</f>
        <v>ADD32</v>
      </c>
      <c r="F100" s="6" t="str">
        <f>"{BINARY:"&amp; splitname(Table1[[#This Row],[seq]]) &amp;","&amp; getsize(Table1[[#This Row],[seq]]) &amp;"}"</f>
        <v>{BINARY:ADD,W}</v>
      </c>
      <c r="G100" s="7" t="e">
        <f>expand(Table1[[#This Row],[replacement]])</f>
        <v>#VALUE!</v>
      </c>
    </row>
    <row r="101" spans="1:7" x14ac:dyDescent="0.25">
      <c r="A101" s="4" t="s">
        <v>173</v>
      </c>
      <c r="B101" s="5" t="s">
        <v>105</v>
      </c>
      <c r="C101" s="5" t="s">
        <v>17</v>
      </c>
      <c r="D101" s="4" t="s">
        <v>182</v>
      </c>
      <c r="E101" s="5" t="str">
        <f>Table1[[#This Row],[description]]</f>
        <v>ADDF32</v>
      </c>
      <c r="F101" s="6" t="str">
        <f>"{BINARY:"&amp; splitname(Table1[[#This Row],[seq]]) &amp;","&amp; getsize(Table1[[#This Row],[seq]]) &amp;"}"</f>
        <v>{BINARY:ADDF,W}</v>
      </c>
      <c r="G101" s="7" t="e">
        <f>expand(Table1[[#This Row],[replacement]])</f>
        <v>#VALUE!</v>
      </c>
    </row>
    <row r="102" spans="1:7" x14ac:dyDescent="0.25">
      <c r="A102" s="4" t="s">
        <v>173</v>
      </c>
      <c r="B102" s="5" t="s">
        <v>107</v>
      </c>
      <c r="C102" s="5" t="s">
        <v>18</v>
      </c>
      <c r="D102" s="4" t="s">
        <v>184</v>
      </c>
      <c r="E102" s="5" t="str">
        <f>Table1[[#This Row],[description]]</f>
        <v>INC8</v>
      </c>
      <c r="F102" s="6" t="str">
        <f>"{UNARY:"&amp; splitname(Table1[[#This Row],[seq]]) &amp;","&amp; getsize(Table1[[#This Row],[seq]]) &amp;"}"</f>
        <v>{UNARY:INC,B}</v>
      </c>
      <c r="G102" s="7" t="e">
        <f>expand(Table1[[#This Row],[replacement]])</f>
        <v>#VALUE!</v>
      </c>
    </row>
    <row r="103" spans="1:7" x14ac:dyDescent="0.25">
      <c r="A103" s="4" t="s">
        <v>173</v>
      </c>
      <c r="B103" s="5" t="s">
        <v>107</v>
      </c>
      <c r="C103" s="5" t="s">
        <v>19</v>
      </c>
      <c r="D103" s="4" t="s">
        <v>184</v>
      </c>
      <c r="E103" s="5" t="str">
        <f>Table1[[#This Row],[description]]</f>
        <v>INC16</v>
      </c>
      <c r="F103" s="6" t="str">
        <f>"{UNARY:"&amp; splitname(Table1[[#This Row],[seq]]) &amp;","&amp; getsize(Table1[[#This Row],[seq]]) &amp;"}"</f>
        <v>{UNARY:INC,I}</v>
      </c>
      <c r="G103" s="7" t="e">
        <f>expand(Table1[[#This Row],[replacement]])</f>
        <v>#VALUE!</v>
      </c>
    </row>
    <row r="104" spans="1:7" x14ac:dyDescent="0.25">
      <c r="A104" s="4" t="s">
        <v>173</v>
      </c>
      <c r="B104" s="5" t="s">
        <v>107</v>
      </c>
      <c r="C104" s="5" t="s">
        <v>20</v>
      </c>
      <c r="D104" s="4" t="s">
        <v>184</v>
      </c>
      <c r="E104" s="5" t="str">
        <f>Table1[[#This Row],[description]]</f>
        <v>INC32</v>
      </c>
      <c r="F104" s="6" t="str">
        <f>"{UNARY:"&amp; splitname(Table1[[#This Row],[seq]]) &amp;","&amp; getsize(Table1[[#This Row],[seq]]) &amp;"}"</f>
        <v>{UNARY:INC,W}</v>
      </c>
      <c r="G104" s="7" t="e">
        <f>expand(Table1[[#This Row],[replacement]])</f>
        <v>#VALUE!</v>
      </c>
    </row>
    <row r="105" spans="1:7" x14ac:dyDescent="0.25">
      <c r="A105" s="4" t="s">
        <v>173</v>
      </c>
      <c r="B105" s="5" t="s">
        <v>104</v>
      </c>
      <c r="C105" s="5" t="s">
        <v>21</v>
      </c>
      <c r="D105" s="4" t="s">
        <v>182</v>
      </c>
      <c r="E105" s="5" t="str">
        <f>Table1[[#This Row],[description]]</f>
        <v>SUB8</v>
      </c>
      <c r="F105" s="6" t="str">
        <f>"{BINARY:"&amp; splitname(Table1[[#This Row],[seq]]) &amp;","&amp; getsize(Table1[[#This Row],[seq]]) &amp;"}"</f>
        <v>{BINARY:SUB,B}</v>
      </c>
      <c r="G105" s="7" t="e">
        <f>expand(Table1[[#This Row],[replacement]])</f>
        <v>#VALUE!</v>
      </c>
    </row>
    <row r="106" spans="1:7" x14ac:dyDescent="0.25">
      <c r="A106" s="4" t="s">
        <v>173</v>
      </c>
      <c r="B106" s="5" t="s">
        <v>104</v>
      </c>
      <c r="C106" s="5" t="s">
        <v>22</v>
      </c>
      <c r="D106" s="4" t="s">
        <v>182</v>
      </c>
      <c r="E106" s="5" t="str">
        <f>Table1[[#This Row],[description]]</f>
        <v>SUB16</v>
      </c>
      <c r="F106" s="6" t="str">
        <f>"{BINARY:"&amp; splitname(Table1[[#This Row],[seq]]) &amp;","&amp; getsize(Table1[[#This Row],[seq]]) &amp;"}"</f>
        <v>{BINARY:SUB,I}</v>
      </c>
      <c r="G106" s="7" t="e">
        <f>expand(Table1[[#This Row],[replacement]])</f>
        <v>#VALUE!</v>
      </c>
    </row>
    <row r="107" spans="1:7" x14ac:dyDescent="0.25">
      <c r="A107" s="4" t="s">
        <v>173</v>
      </c>
      <c r="B107" s="5" t="s">
        <v>104</v>
      </c>
      <c r="C107" s="5" t="s">
        <v>23</v>
      </c>
      <c r="D107" s="4" t="s">
        <v>182</v>
      </c>
      <c r="E107" s="5" t="str">
        <f>Table1[[#This Row],[description]]</f>
        <v>SUB32</v>
      </c>
      <c r="F107" s="6" t="str">
        <f>"{BINARY:"&amp; splitname(Table1[[#This Row],[seq]]) &amp;","&amp; getsize(Table1[[#This Row],[seq]]) &amp;"}"</f>
        <v>{BINARY:SUB,W}</v>
      </c>
      <c r="G107" s="7" t="e">
        <f>expand(Table1[[#This Row],[replacement]])</f>
        <v>#VALUE!</v>
      </c>
    </row>
    <row r="108" spans="1:7" x14ac:dyDescent="0.25">
      <c r="A108" s="4" t="s">
        <v>173</v>
      </c>
      <c r="B108" s="5" t="s">
        <v>106</v>
      </c>
      <c r="C108" s="5" t="s">
        <v>24</v>
      </c>
      <c r="D108" s="4" t="s">
        <v>182</v>
      </c>
      <c r="E108" s="5" t="str">
        <f>Table1[[#This Row],[description]]</f>
        <v>SUBF32</v>
      </c>
      <c r="F108" s="6" t="str">
        <f>"{BINARY:"&amp; splitname(Table1[[#This Row],[seq]]) &amp;","&amp; getsize(Table1[[#This Row],[seq]]) &amp;"}"</f>
        <v>{BINARY:SUBF,W}</v>
      </c>
      <c r="G108" s="7" t="e">
        <f>expand(Table1[[#This Row],[replacement]])</f>
        <v>#VALUE!</v>
      </c>
    </row>
    <row r="109" spans="1:7" x14ac:dyDescent="0.25">
      <c r="A109" s="4" t="s">
        <v>173</v>
      </c>
      <c r="B109" s="5" t="s">
        <v>108</v>
      </c>
      <c r="C109" s="5" t="s">
        <v>25</v>
      </c>
      <c r="D109" s="4" t="s">
        <v>184</v>
      </c>
      <c r="E109" s="5" t="str">
        <f>Table1[[#This Row],[description]]</f>
        <v>DEC8</v>
      </c>
      <c r="F109" s="6" t="str">
        <f>"{UNARY:"&amp; splitname(Table1[[#This Row],[seq]]) &amp;","&amp; getsize(Table1[[#This Row],[seq]]) &amp;"}"</f>
        <v>{UNARY:DEC,B}</v>
      </c>
      <c r="G109" s="7" t="e">
        <f>expand(Table1[[#This Row],[replacement]])</f>
        <v>#VALUE!</v>
      </c>
    </row>
    <row r="110" spans="1:7" x14ac:dyDescent="0.25">
      <c r="A110" s="4" t="s">
        <v>173</v>
      </c>
      <c r="B110" s="5" t="s">
        <v>108</v>
      </c>
      <c r="C110" s="5" t="s">
        <v>26</v>
      </c>
      <c r="D110" s="4" t="s">
        <v>184</v>
      </c>
      <c r="E110" s="5" t="str">
        <f>Table1[[#This Row],[description]]</f>
        <v>DEC16</v>
      </c>
      <c r="F110" s="6" t="str">
        <f>"{UNARY:"&amp; splitname(Table1[[#This Row],[seq]]) &amp;","&amp; getsize(Table1[[#This Row],[seq]]) &amp;"}"</f>
        <v>{UNARY:DEC,I}</v>
      </c>
      <c r="G110" s="7" t="e">
        <f>expand(Table1[[#This Row],[replacement]])</f>
        <v>#VALUE!</v>
      </c>
    </row>
    <row r="111" spans="1:7" x14ac:dyDescent="0.25">
      <c r="A111" s="4" t="s">
        <v>173</v>
      </c>
      <c r="B111" s="5" t="s">
        <v>108</v>
      </c>
      <c r="C111" s="5" t="s">
        <v>27</v>
      </c>
      <c r="D111" s="4" t="s">
        <v>184</v>
      </c>
      <c r="E111" s="5" t="str">
        <f>Table1[[#This Row],[description]]</f>
        <v>DEC32</v>
      </c>
      <c r="F111" s="6" t="str">
        <f>"{UNARY:"&amp; splitname(Table1[[#This Row],[seq]]) &amp;","&amp; getsize(Table1[[#This Row],[seq]]) &amp;"}"</f>
        <v>{UNARY:DEC,W}</v>
      </c>
      <c r="G111" s="7" t="e">
        <f>expand(Table1[[#This Row],[replacement]])</f>
        <v>#VALUE!</v>
      </c>
    </row>
    <row r="112" spans="1:7" x14ac:dyDescent="0.25">
      <c r="A112" s="4" t="s">
        <v>173</v>
      </c>
      <c r="B112" s="5" t="s">
        <v>109</v>
      </c>
      <c r="C112" s="5" t="s">
        <v>28</v>
      </c>
      <c r="D112" s="4" t="s">
        <v>182</v>
      </c>
      <c r="E112" s="5" t="str">
        <f>Table1[[#This Row],[description]]</f>
        <v>MUL8</v>
      </c>
      <c r="F112" s="6" t="str">
        <f>"{BINARY:"&amp; splitname(Table1[[#This Row],[seq]]) &amp;","&amp; getsize(Table1[[#This Row],[seq]]) &amp;"}"</f>
        <v>{BINARY:MUL,B}</v>
      </c>
      <c r="G112" s="7" t="e">
        <f>expand(Table1[[#This Row],[replacement]])</f>
        <v>#VALUE!</v>
      </c>
    </row>
    <row r="113" spans="1:7" x14ac:dyDescent="0.25">
      <c r="A113" s="4" t="s">
        <v>173</v>
      </c>
      <c r="B113" s="5" t="s">
        <v>109</v>
      </c>
      <c r="C113" s="5" t="s">
        <v>29</v>
      </c>
      <c r="D113" s="4" t="s">
        <v>182</v>
      </c>
      <c r="E113" s="5" t="str">
        <f>Table1[[#This Row],[description]]</f>
        <v>MUL16</v>
      </c>
      <c r="F113" s="6" t="str">
        <f>"{BINARY:"&amp; splitname(Table1[[#This Row],[seq]]) &amp;","&amp; getsize(Table1[[#This Row],[seq]]) &amp;"}"</f>
        <v>{BINARY:MUL,I}</v>
      </c>
      <c r="G113" s="7" t="e">
        <f>expand(Table1[[#This Row],[replacement]])</f>
        <v>#VALUE!</v>
      </c>
    </row>
    <row r="114" spans="1:7" x14ac:dyDescent="0.25">
      <c r="A114" s="4" t="s">
        <v>173</v>
      </c>
      <c r="B114" s="5" t="s">
        <v>109</v>
      </c>
      <c r="C114" s="5" t="s">
        <v>30</v>
      </c>
      <c r="D114" s="4" t="s">
        <v>182</v>
      </c>
      <c r="E114" s="5" t="str">
        <f>Table1[[#This Row],[description]]</f>
        <v>MUL32</v>
      </c>
      <c r="F114" s="6" t="str">
        <f>"{BINARY:"&amp; splitname(Table1[[#This Row],[seq]]) &amp;","&amp; getsize(Table1[[#This Row],[seq]]) &amp;"}"</f>
        <v>{BINARY:MUL,W}</v>
      </c>
      <c r="G114" s="7" t="e">
        <f>expand(Table1[[#This Row],[replacement]])</f>
        <v>#VALUE!</v>
      </c>
    </row>
    <row r="115" spans="1:7" x14ac:dyDescent="0.25">
      <c r="A115" s="4" t="s">
        <v>173</v>
      </c>
      <c r="B115" s="5" t="s">
        <v>110</v>
      </c>
      <c r="C115" s="5" t="s">
        <v>31</v>
      </c>
      <c r="D115" s="4" t="s">
        <v>182</v>
      </c>
      <c r="E115" s="5" t="str">
        <f>Table1[[#This Row],[description]]</f>
        <v>MULF32</v>
      </c>
      <c r="F115" s="6" t="str">
        <f>"{BINARY:"&amp; splitname(Table1[[#This Row],[seq]]) &amp;","&amp; getsize(Table1[[#This Row],[seq]]) &amp;"}"</f>
        <v>{BINARY:MULF,W}</v>
      </c>
      <c r="G115" s="7" t="e">
        <f>expand(Table1[[#This Row],[replacement]])</f>
        <v>#VALUE!</v>
      </c>
    </row>
    <row r="116" spans="1:7" x14ac:dyDescent="0.25">
      <c r="A116" s="4" t="s">
        <v>173</v>
      </c>
      <c r="B116" s="5" t="s">
        <v>111</v>
      </c>
      <c r="C116" s="5" t="s">
        <v>32</v>
      </c>
      <c r="D116" s="4" t="s">
        <v>182</v>
      </c>
      <c r="E116" s="5" t="str">
        <f>Table1[[#This Row],[description]]</f>
        <v>DIV8</v>
      </c>
      <c r="F116" s="6" t="str">
        <f>"{BINARY:"&amp; splitname(Table1[[#This Row],[seq]]) &amp;","&amp; getsize(Table1[[#This Row],[seq]]) &amp;"}"</f>
        <v>{BINARY:DIV,B}</v>
      </c>
      <c r="G116" s="7" t="e">
        <f>expand(Table1[[#This Row],[replacement]])</f>
        <v>#VALUE!</v>
      </c>
    </row>
    <row r="117" spans="1:7" x14ac:dyDescent="0.25">
      <c r="A117" s="4" t="s">
        <v>173</v>
      </c>
      <c r="B117" s="5" t="s">
        <v>111</v>
      </c>
      <c r="C117" s="5" t="s">
        <v>33</v>
      </c>
      <c r="D117" s="4" t="s">
        <v>182</v>
      </c>
      <c r="E117" s="5" t="str">
        <f>Table1[[#This Row],[description]]</f>
        <v>DIV16</v>
      </c>
      <c r="F117" s="6" t="str">
        <f>"{BINARY:"&amp; splitname(Table1[[#This Row],[seq]]) &amp;","&amp; getsize(Table1[[#This Row],[seq]]) &amp;"}"</f>
        <v>{BINARY:DIV,I}</v>
      </c>
      <c r="G117" s="7" t="e">
        <f>expand(Table1[[#This Row],[replacement]])</f>
        <v>#VALUE!</v>
      </c>
    </row>
    <row r="118" spans="1:7" x14ac:dyDescent="0.25">
      <c r="A118" s="4" t="s">
        <v>173</v>
      </c>
      <c r="B118" s="5" t="s">
        <v>111</v>
      </c>
      <c r="C118" s="5" t="s">
        <v>34</v>
      </c>
      <c r="D118" s="4" t="s">
        <v>182</v>
      </c>
      <c r="E118" s="5" t="str">
        <f>Table1[[#This Row],[description]]</f>
        <v>DIV32</v>
      </c>
      <c r="F118" s="6" t="str">
        <f>"{BINARY:"&amp; splitname(Table1[[#This Row],[seq]]) &amp;","&amp; getsize(Table1[[#This Row],[seq]]) &amp;"}"</f>
        <v>{BINARY:DIV,W}</v>
      </c>
      <c r="G118" s="7" t="e">
        <f>expand(Table1[[#This Row],[replacement]])</f>
        <v>#VALUE!</v>
      </c>
    </row>
    <row r="119" spans="1:7" x14ac:dyDescent="0.25">
      <c r="A119" s="4" t="s">
        <v>173</v>
      </c>
      <c r="B119" s="5" t="s">
        <v>112</v>
      </c>
      <c r="C119" s="5" t="s">
        <v>35</v>
      </c>
      <c r="D119" s="4" t="s">
        <v>182</v>
      </c>
      <c r="E119" s="5" t="str">
        <f>Table1[[#This Row],[description]]</f>
        <v>DIVF32</v>
      </c>
      <c r="F119" s="6" t="str">
        <f>"{BINARY:"&amp; splitname(Table1[[#This Row],[seq]]) &amp;","&amp; getsize(Table1[[#This Row],[seq]]) &amp;"}"</f>
        <v>{BINARY:DIVF,W}</v>
      </c>
      <c r="G119" s="7" t="e">
        <f>expand(Table1[[#This Row],[replacement]])</f>
        <v>#VALUE!</v>
      </c>
    </row>
    <row r="120" spans="1:7" x14ac:dyDescent="0.25">
      <c r="A120" s="4" t="s">
        <v>173</v>
      </c>
      <c r="B120" s="5" t="s">
        <v>113</v>
      </c>
      <c r="C120" s="5" t="s">
        <v>36</v>
      </c>
      <c r="D120" s="4" t="s">
        <v>182</v>
      </c>
      <c r="E120" s="5" t="str">
        <f>Table1[[#This Row],[description]]</f>
        <v>AND8</v>
      </c>
      <c r="F120" s="6" t="str">
        <f>"{BINARY:"&amp; splitname(Table1[[#This Row],[seq]]) &amp;","&amp; getsize(Table1[[#This Row],[seq]]) &amp;"}"</f>
        <v>{BINARY:AND,B}</v>
      </c>
      <c r="G120" s="7" t="e">
        <f>expand(Table1[[#This Row],[replacement]])</f>
        <v>#VALUE!</v>
      </c>
    </row>
    <row r="121" spans="1:7" x14ac:dyDescent="0.25">
      <c r="A121" s="4" t="s">
        <v>173</v>
      </c>
      <c r="B121" s="5" t="s">
        <v>113</v>
      </c>
      <c r="C121" s="5" t="s">
        <v>37</v>
      </c>
      <c r="D121" s="4" t="s">
        <v>182</v>
      </c>
      <c r="E121" s="5" t="str">
        <f>Table1[[#This Row],[description]]</f>
        <v>AND16</v>
      </c>
      <c r="F121" s="6" t="str">
        <f>"{BINARY:"&amp; splitname(Table1[[#This Row],[seq]]) &amp;","&amp; getsize(Table1[[#This Row],[seq]]) &amp;"}"</f>
        <v>{BINARY:AND,I}</v>
      </c>
      <c r="G121" s="7" t="e">
        <f>expand(Table1[[#This Row],[replacement]])</f>
        <v>#VALUE!</v>
      </c>
    </row>
    <row r="122" spans="1:7" x14ac:dyDescent="0.25">
      <c r="A122" s="4" t="s">
        <v>173</v>
      </c>
      <c r="B122" s="5" t="s">
        <v>113</v>
      </c>
      <c r="C122" s="5" t="s">
        <v>38</v>
      </c>
      <c r="D122" s="4" t="s">
        <v>182</v>
      </c>
      <c r="E122" s="5" t="str">
        <f>Table1[[#This Row],[description]]</f>
        <v>AND32</v>
      </c>
      <c r="F122" s="6" t="str">
        <f>"{BINARY:"&amp; splitname(Table1[[#This Row],[seq]]) &amp;","&amp; getsize(Table1[[#This Row],[seq]]) &amp;"}"</f>
        <v>{BINARY:AND,W}</v>
      </c>
      <c r="G122" s="7" t="e">
        <f>expand(Table1[[#This Row],[replacement]])</f>
        <v>#VALUE!</v>
      </c>
    </row>
    <row r="123" spans="1:7" x14ac:dyDescent="0.25">
      <c r="A123" s="4" t="s">
        <v>173</v>
      </c>
      <c r="B123" s="5" t="s">
        <v>114</v>
      </c>
      <c r="C123" s="5" t="s">
        <v>39</v>
      </c>
      <c r="D123" s="4" t="s">
        <v>182</v>
      </c>
      <c r="E123" s="5" t="str">
        <f>Table1[[#This Row],[description]]</f>
        <v>OR8</v>
      </c>
      <c r="F123" s="6" t="str">
        <f>"{BINARY:"&amp; splitname(Table1[[#This Row],[seq]]) &amp;","&amp; getsize(Table1[[#This Row],[seq]]) &amp;"}"</f>
        <v>{BINARY:OR,B}</v>
      </c>
      <c r="G123" s="7" t="e">
        <f>expand(Table1[[#This Row],[replacement]])</f>
        <v>#VALUE!</v>
      </c>
    </row>
    <row r="124" spans="1:7" x14ac:dyDescent="0.25">
      <c r="A124" s="4" t="s">
        <v>173</v>
      </c>
      <c r="B124" s="5" t="s">
        <v>114</v>
      </c>
      <c r="C124" s="5" t="s">
        <v>40</v>
      </c>
      <c r="D124" s="4" t="s">
        <v>182</v>
      </c>
      <c r="E124" s="5" t="str">
        <f>Table1[[#This Row],[description]]</f>
        <v>OR16</v>
      </c>
      <c r="F124" s="6" t="str">
        <f>"{BINARY:"&amp; splitname(Table1[[#This Row],[seq]]) &amp;","&amp; getsize(Table1[[#This Row],[seq]]) &amp;"}"</f>
        <v>{BINARY:OR,I}</v>
      </c>
      <c r="G124" s="7" t="e">
        <f>expand(Table1[[#This Row],[replacement]])</f>
        <v>#VALUE!</v>
      </c>
    </row>
    <row r="125" spans="1:7" x14ac:dyDescent="0.25">
      <c r="A125" s="4" t="s">
        <v>173</v>
      </c>
      <c r="B125" s="5" t="s">
        <v>114</v>
      </c>
      <c r="C125" s="5" t="s">
        <v>41</v>
      </c>
      <c r="D125" s="4" t="s">
        <v>182</v>
      </c>
      <c r="E125" s="5" t="str">
        <f>Table1[[#This Row],[description]]</f>
        <v>OR32</v>
      </c>
      <c r="F125" s="6" t="str">
        <f>"{BINARY:"&amp; splitname(Table1[[#This Row],[seq]]) &amp;","&amp; getsize(Table1[[#This Row],[seq]]) &amp;"}"</f>
        <v>{BINARY:OR,W}</v>
      </c>
      <c r="G125" s="7" t="e">
        <f>expand(Table1[[#This Row],[replacement]])</f>
        <v>#VALUE!</v>
      </c>
    </row>
    <row r="126" spans="1:7" x14ac:dyDescent="0.25">
      <c r="A126" s="4" t="s">
        <v>173</v>
      </c>
      <c r="B126" s="5" t="s">
        <v>115</v>
      </c>
      <c r="C126" s="5" t="s">
        <v>42</v>
      </c>
      <c r="D126" s="4" t="s">
        <v>184</v>
      </c>
      <c r="E126" s="5" t="str">
        <f>Table1[[#This Row],[description]]</f>
        <v>NOT8</v>
      </c>
      <c r="F126" s="6" t="str">
        <f>"{UNARY:"&amp; splitname(Table1[[#This Row],[seq]]) &amp;","&amp; getsize(Table1[[#This Row],[seq]]) &amp;"}"</f>
        <v>{UNARY:NOT,B}</v>
      </c>
      <c r="G126" s="7" t="e">
        <f>expand(Table1[[#This Row],[replacement]])</f>
        <v>#VALUE!</v>
      </c>
    </row>
    <row r="127" spans="1:7" x14ac:dyDescent="0.25">
      <c r="A127" s="4" t="s">
        <v>173</v>
      </c>
      <c r="B127" s="5" t="s">
        <v>115</v>
      </c>
      <c r="C127" s="5" t="s">
        <v>43</v>
      </c>
      <c r="D127" s="4" t="s">
        <v>184</v>
      </c>
      <c r="E127" s="5" t="str">
        <f>Table1[[#This Row],[description]]</f>
        <v>NOT16</v>
      </c>
      <c r="F127" s="6" t="str">
        <f>"{UNARY:"&amp; splitname(Table1[[#This Row],[seq]]) &amp;","&amp; getsize(Table1[[#This Row],[seq]]) &amp;"}"</f>
        <v>{UNARY:NOT,I}</v>
      </c>
      <c r="G127" s="7" t="e">
        <f>expand(Table1[[#This Row],[replacement]])</f>
        <v>#VALUE!</v>
      </c>
    </row>
    <row r="128" spans="1:7" x14ac:dyDescent="0.25">
      <c r="A128" s="4" t="s">
        <v>173</v>
      </c>
      <c r="B128" s="5" t="s">
        <v>115</v>
      </c>
      <c r="C128" s="5" t="s">
        <v>44</v>
      </c>
      <c r="D128" s="4" t="s">
        <v>184</v>
      </c>
      <c r="E128" s="5" t="str">
        <f>Table1[[#This Row],[description]]</f>
        <v>NOT32</v>
      </c>
      <c r="F128" s="6" t="str">
        <f>"{UNARY:"&amp; splitname(Table1[[#This Row],[seq]]) &amp;","&amp; getsize(Table1[[#This Row],[seq]]) &amp;"}"</f>
        <v>{UNARY:NOT,W}</v>
      </c>
      <c r="G128" s="7" t="e">
        <f>expand(Table1[[#This Row],[replacement]])</f>
        <v>#VALUE!</v>
      </c>
    </row>
    <row r="129" spans="1:7" x14ac:dyDescent="0.25">
      <c r="A129" s="4" t="s">
        <v>173</v>
      </c>
      <c r="B129" s="5" t="s">
        <v>116</v>
      </c>
      <c r="C129" s="5" t="s">
        <v>45</v>
      </c>
      <c r="D129" s="4" t="s">
        <v>182</v>
      </c>
      <c r="E129" s="5" t="str">
        <f>Table1[[#This Row],[description]]</f>
        <v>XOR8</v>
      </c>
      <c r="F129" s="6" t="str">
        <f>"{BINARY:"&amp; splitname(Table1[[#This Row],[seq]]) &amp;","&amp; getsize(Table1[[#This Row],[seq]]) &amp;"}"</f>
        <v>{BINARY:XOR,B}</v>
      </c>
      <c r="G129" s="7" t="e">
        <f>expand(Table1[[#This Row],[replacement]])</f>
        <v>#VALUE!</v>
      </c>
    </row>
    <row r="130" spans="1:7" x14ac:dyDescent="0.25">
      <c r="A130" s="4" t="s">
        <v>173</v>
      </c>
      <c r="B130" s="5" t="s">
        <v>116</v>
      </c>
      <c r="C130" s="5" t="s">
        <v>46</v>
      </c>
      <c r="D130" s="4" t="s">
        <v>182</v>
      </c>
      <c r="E130" s="5" t="str">
        <f>Table1[[#This Row],[description]]</f>
        <v>XOR16</v>
      </c>
      <c r="F130" s="6" t="str">
        <f>"{BINARY:"&amp; splitname(Table1[[#This Row],[seq]]) &amp;","&amp; getsize(Table1[[#This Row],[seq]]) &amp;"}"</f>
        <v>{BINARY:XOR,I}</v>
      </c>
      <c r="G130" s="7" t="e">
        <f>expand(Table1[[#This Row],[replacement]])</f>
        <v>#VALUE!</v>
      </c>
    </row>
    <row r="131" spans="1:7" x14ac:dyDescent="0.25">
      <c r="A131" s="4" t="s">
        <v>173</v>
      </c>
      <c r="B131" s="5" t="s">
        <v>116</v>
      </c>
      <c r="C131" s="5" t="s">
        <v>47</v>
      </c>
      <c r="D131" s="4" t="s">
        <v>182</v>
      </c>
      <c r="E131" s="5" t="str">
        <f>Table1[[#This Row],[description]]</f>
        <v>XOR32</v>
      </c>
      <c r="F131" s="6" t="str">
        <f>"{BINARY:"&amp; splitname(Table1[[#This Row],[seq]]) &amp;","&amp; getsize(Table1[[#This Row],[seq]]) &amp;"}"</f>
        <v>{BINARY:XOR,W}</v>
      </c>
      <c r="G131" s="7" t="e">
        <f>expand(Table1[[#This Row],[replacement]])</f>
        <v>#VALUE!</v>
      </c>
    </row>
    <row r="132" spans="1:7" x14ac:dyDescent="0.25">
      <c r="A132" s="4" t="s">
        <v>173</v>
      </c>
      <c r="B132" s="5" t="s">
        <v>117</v>
      </c>
      <c r="C132" s="5" t="s">
        <v>48</v>
      </c>
      <c r="D132" s="4" t="s">
        <v>182</v>
      </c>
      <c r="E132" s="5" t="str">
        <f>Table1[[#This Row],[description]]</f>
        <v>SHL8</v>
      </c>
      <c r="F132" s="6" t="str">
        <f>"{SHIFT:"&amp; splitname(Table1[[#This Row],[seq]]) &amp;","&amp; getsize(Table1[[#This Row],[seq]]) &amp;"}"</f>
        <v>{SHIFT:SHL,B}</v>
      </c>
      <c r="G132" s="7" t="e">
        <f>expand(Table1[[#This Row],[replacement]])</f>
        <v>#VALUE!</v>
      </c>
    </row>
    <row r="133" spans="1:7" x14ac:dyDescent="0.25">
      <c r="A133" s="4" t="s">
        <v>173</v>
      </c>
      <c r="B133" s="5" t="s">
        <v>117</v>
      </c>
      <c r="C133" s="5" t="s">
        <v>49</v>
      </c>
      <c r="D133" s="4" t="s">
        <v>182</v>
      </c>
      <c r="E133" s="5" t="str">
        <f>Table1[[#This Row],[description]]</f>
        <v>SHL16</v>
      </c>
      <c r="F133" s="6" t="str">
        <f>"{SHIFT:"&amp; splitname(Table1[[#This Row],[seq]]) &amp;","&amp; getsize(Table1[[#This Row],[seq]]) &amp;"}"</f>
        <v>{SHIFT:SHL,I}</v>
      </c>
      <c r="G133" s="7" t="e">
        <f>expand(Table1[[#This Row],[replacement]])</f>
        <v>#VALUE!</v>
      </c>
    </row>
    <row r="134" spans="1:7" x14ac:dyDescent="0.25">
      <c r="A134" s="4" t="s">
        <v>173</v>
      </c>
      <c r="B134" s="5" t="s">
        <v>117</v>
      </c>
      <c r="C134" s="5" t="s">
        <v>50</v>
      </c>
      <c r="D134" s="4" t="s">
        <v>182</v>
      </c>
      <c r="E134" s="5" t="str">
        <f>Table1[[#This Row],[description]]</f>
        <v>SHL32</v>
      </c>
      <c r="F134" s="6" t="str">
        <f>"{SHIFT:"&amp; splitname(Table1[[#This Row],[seq]]) &amp;","&amp; getsize(Table1[[#This Row],[seq]]) &amp;"}"</f>
        <v>{SHIFT:SHL,W}</v>
      </c>
      <c r="G134" s="7" t="e">
        <f>expand(Table1[[#This Row],[replacement]])</f>
        <v>#VALUE!</v>
      </c>
    </row>
    <row r="135" spans="1:7" x14ac:dyDescent="0.25">
      <c r="A135" s="4" t="s">
        <v>173</v>
      </c>
      <c r="B135" s="5" t="s">
        <v>118</v>
      </c>
      <c r="C135" s="5" t="s">
        <v>51</v>
      </c>
      <c r="D135" s="4" t="s">
        <v>182</v>
      </c>
      <c r="E135" s="5" t="str">
        <f>Table1[[#This Row],[description]]</f>
        <v>SHR8</v>
      </c>
      <c r="F135" s="6" t="str">
        <f>"{SHIFT:"&amp; splitname(Table1[[#This Row],[seq]]) &amp;","&amp; getsize(Table1[[#This Row],[seq]]) &amp;"}"</f>
        <v>{SHIFT:SHR,B}</v>
      </c>
      <c r="G135" s="7" t="e">
        <f>expand(Table1[[#This Row],[replacement]])</f>
        <v>#VALUE!</v>
      </c>
    </row>
    <row r="136" spans="1:7" x14ac:dyDescent="0.25">
      <c r="A136" s="4" t="s">
        <v>173</v>
      </c>
      <c r="B136" s="5" t="s">
        <v>118</v>
      </c>
      <c r="C136" s="5" t="s">
        <v>52</v>
      </c>
      <c r="D136" s="4" t="s">
        <v>182</v>
      </c>
      <c r="E136" s="5" t="str">
        <f>Table1[[#This Row],[description]]</f>
        <v>SHR16</v>
      </c>
      <c r="F136" s="6" t="str">
        <f>"{SHIFT:"&amp; splitname(Table1[[#This Row],[seq]]) &amp;","&amp; getsize(Table1[[#This Row],[seq]]) &amp;"}"</f>
        <v>{SHIFT:SHR,I}</v>
      </c>
      <c r="G136" s="7" t="e">
        <f>expand(Table1[[#This Row],[replacement]])</f>
        <v>#VALUE!</v>
      </c>
    </row>
    <row r="137" spans="1:7" x14ac:dyDescent="0.25">
      <c r="A137" s="4" t="s">
        <v>173</v>
      </c>
      <c r="B137" s="5" t="s">
        <v>118</v>
      </c>
      <c r="C137" s="5" t="s">
        <v>53</v>
      </c>
      <c r="D137" s="4" t="s">
        <v>182</v>
      </c>
      <c r="E137" s="5" t="str">
        <f>Table1[[#This Row],[description]]</f>
        <v>SHR32</v>
      </c>
      <c r="F137" s="6" t="str">
        <f>"{SHIFT:"&amp; splitname(Table1[[#This Row],[seq]]) &amp;","&amp; getsize(Table1[[#This Row],[seq]]) &amp;"}"</f>
        <v>{SHIFT:SHR,W}</v>
      </c>
      <c r="G137" s="7" t="e">
        <f>expand(Table1[[#This Row],[replacement]])</f>
        <v>#VALUE!</v>
      </c>
    </row>
    <row r="138" spans="1:7" x14ac:dyDescent="0.25">
      <c r="A138" s="4" t="s">
        <v>173</v>
      </c>
      <c r="B138" s="5" t="s">
        <v>119</v>
      </c>
      <c r="C138" s="5" t="s">
        <v>54</v>
      </c>
      <c r="D138" s="4" t="s">
        <v>54</v>
      </c>
      <c r="E138" s="5" t="str">
        <f>Table1[[#This Row],[description]]</f>
        <v>LD8</v>
      </c>
      <c r="F138" s="5" t="str">
        <f>"{LD:"&amp;getsize(Table1[[#This Row],[seq]])&amp;"}"</f>
        <v>{LD:B}</v>
      </c>
      <c r="G138" s="7" t="e">
        <f>expand(Table1[[#This Row],[replacement]])</f>
        <v>#VALUE!</v>
      </c>
    </row>
    <row r="139" spans="1:7" x14ac:dyDescent="0.25">
      <c r="A139" s="4" t="s">
        <v>173</v>
      </c>
      <c r="B139" s="5" t="s">
        <v>119</v>
      </c>
      <c r="C139" s="5" t="s">
        <v>55</v>
      </c>
      <c r="D139" s="4" t="s">
        <v>55</v>
      </c>
      <c r="E139" s="5" t="str">
        <f>Table1[[#This Row],[description]]</f>
        <v>LD16</v>
      </c>
      <c r="F139" s="5" t="str">
        <f>"{LD:"&amp;getsize(Table1[[#This Row],[seq]])&amp;"}"</f>
        <v>{LD:I}</v>
      </c>
      <c r="G139" s="7" t="e">
        <f>expand(Table1[[#This Row],[replacement]])</f>
        <v>#VALUE!</v>
      </c>
    </row>
    <row r="140" spans="1:7" x14ac:dyDescent="0.25">
      <c r="A140" s="4" t="s">
        <v>173</v>
      </c>
      <c r="B140" s="5" t="s">
        <v>119</v>
      </c>
      <c r="C140" s="5" t="s">
        <v>56</v>
      </c>
      <c r="D140" s="4" t="s">
        <v>56</v>
      </c>
      <c r="E140" s="5" t="str">
        <f>Table1[[#This Row],[description]]</f>
        <v>LD32</v>
      </c>
      <c r="F140" s="5" t="str">
        <f>"{LD:"&amp;getsize(Table1[[#This Row],[seq]])&amp;"}"</f>
        <v>{LD:W}</v>
      </c>
      <c r="G140" s="7" t="e">
        <f>expand(Table1[[#This Row],[replacement]])</f>
        <v>#VALUE!</v>
      </c>
    </row>
    <row r="141" spans="1:7" x14ac:dyDescent="0.25">
      <c r="A141" s="4" t="s">
        <v>173</v>
      </c>
      <c r="B141" s="4" t="s">
        <v>57</v>
      </c>
      <c r="C141" s="5" t="s">
        <v>57</v>
      </c>
      <c r="D141" s="4" t="s">
        <v>64</v>
      </c>
      <c r="E141" s="5" t="str">
        <f>Table1[[#This Row],[description]]</f>
        <v>CALL</v>
      </c>
      <c r="F141" s="4" t="s">
        <v>274</v>
      </c>
      <c r="G141" s="7" t="str">
        <f>expand(Table1[[#This Row],[replacement]])</f>
        <v>CALL\s+((@(?&lt;LABEL&gt;\w+))|((?&lt;OFFSET_SIGN&gt;-|\+)?\s*((0[xX](?&lt;OFFSET_HEX&gt;[0-9a-fA-F]+))|(?&lt;OFFSET_DEC&gt;[0-9]+))))</v>
      </c>
    </row>
    <row r="142" spans="1:7" x14ac:dyDescent="0.25">
      <c r="A142" s="4" t="s">
        <v>173</v>
      </c>
      <c r="B142" s="4" t="s">
        <v>57</v>
      </c>
      <c r="C142" s="4" t="s">
        <v>58</v>
      </c>
      <c r="D142" s="4" t="s">
        <v>183</v>
      </c>
      <c r="E142" s="4" t="s">
        <v>58</v>
      </c>
      <c r="F142" s="4" t="s">
        <v>282</v>
      </c>
      <c r="G142" s="8" t="e">
        <f>expand(Table1[[#This Row],[replacement]])</f>
        <v>#VALUE!</v>
      </c>
    </row>
    <row r="143" spans="1:7" x14ac:dyDescent="0.25">
      <c r="A143" s="4" t="s">
        <v>173</v>
      </c>
      <c r="B143" s="4" t="s">
        <v>120</v>
      </c>
      <c r="C143" s="4" t="s">
        <v>64</v>
      </c>
      <c r="D143" s="4"/>
      <c r="E143" s="5" t="str">
        <f>Table1[[#This Row],[description]]</f>
        <v>JMP</v>
      </c>
      <c r="F143" s="4" t="s">
        <v>266</v>
      </c>
      <c r="G143" s="7" t="str">
        <f>expand(Table1[[#This Row],[replacement]])</f>
        <v>(GOTO|JMP)\s+((@(?&lt;LABEL&gt;\w+))|((?&lt;OFFSET_SIGN&gt;-|\+)?\s*((0[xX](?&lt;OFFSET_HEX&gt;[0-9a-fA-F]+))|(?&lt;OFFSET_DEC&gt;[0-9]+))))</v>
      </c>
    </row>
    <row r="144" spans="1:7" x14ac:dyDescent="0.25">
      <c r="A144" s="4" t="s">
        <v>173</v>
      </c>
      <c r="B144" s="4" t="s">
        <v>60</v>
      </c>
      <c r="C144" s="4" t="s">
        <v>60</v>
      </c>
      <c r="D144" s="5"/>
      <c r="E144" s="5" t="str">
        <f>Table1[[#This Row],[description]]</f>
        <v>SYSCALL</v>
      </c>
      <c r="F144" s="4" t="s">
        <v>275</v>
      </c>
      <c r="G144" s="7" t="str">
        <f>expand(Table1[[#This Row],[replacement]])</f>
        <v>SYSCALL\s+(((0[xX](?&lt;NATIVEID_HEX&gt;[0-9a-fA-F]+))|(?&lt;NATIVEID_DEC&gt;[0-9]+))|(\$(?&lt;NATIVEID_IDENTIFIER&gt;[a-zA-Z_]\w*)))(\s*\(\s*(((?&lt;PARAMETER_SIGN&gt;-|\+)?\s*((0[xX](?&lt;PARAMETER_HEX&gt;[0-9a-fA-F]+))|(?&lt;PARAMETER_DEC&gt;[0-9]+)))|(\$(?&lt;PARAMETER_IDENTIFIER&gt;[a-zA-Z_]\w*)))\s*\))?</v>
      </c>
    </row>
    <row r="145" spans="1:7" x14ac:dyDescent="0.25">
      <c r="A145" s="9" t="s">
        <v>173</v>
      </c>
      <c r="B145" s="9" t="s">
        <v>59</v>
      </c>
      <c r="C145" s="9" t="s">
        <v>59</v>
      </c>
      <c r="D145" s="9"/>
      <c r="E145" s="9" t="s">
        <v>59</v>
      </c>
      <c r="F145" s="4" t="s">
        <v>280</v>
      </c>
      <c r="G145" s="11" t="str">
        <f>expand(Table1[[#This Row],[replacement]])</f>
        <v>RET(\s+((0[xX](?&lt;UNWIND_HEX&gt;[0-9a-fA-F]+))|(?&lt;UNWIND_DEC&gt;[0-9]+)))?</v>
      </c>
    </row>
    <row r="146" spans="1:7" x14ac:dyDescent="0.25">
      <c r="A146" s="4" t="s">
        <v>173</v>
      </c>
      <c r="B146" s="4" t="s">
        <v>61</v>
      </c>
      <c r="C146" s="4" t="s">
        <v>61</v>
      </c>
      <c r="D146" s="4" t="s">
        <v>184</v>
      </c>
      <c r="E146" s="5" t="str">
        <f>Table1[[#This Row],[description]]</f>
        <v>CINT</v>
      </c>
      <c r="F146" s="4" t="s">
        <v>188</v>
      </c>
      <c r="G146" s="7" t="e">
        <f>expand(Table1[[#This Row],[replacement]])</f>
        <v>#VALUE!</v>
      </c>
    </row>
    <row r="147" spans="1:7" x14ac:dyDescent="0.25">
      <c r="A147" s="4" t="s">
        <v>173</v>
      </c>
      <c r="B147" s="4" t="s">
        <v>62</v>
      </c>
      <c r="C147" s="4" t="s">
        <v>62</v>
      </c>
      <c r="D147" s="4" t="s">
        <v>184</v>
      </c>
      <c r="E147" s="5" t="str">
        <f>Table1[[#This Row],[description]]</f>
        <v>CFLOAT</v>
      </c>
      <c r="F147" s="4" t="s">
        <v>189</v>
      </c>
      <c r="G147" s="7" t="e">
        <f>expand(Table1[[#This Row],[replacement]])</f>
        <v>#VALUE!</v>
      </c>
    </row>
    <row r="148" spans="1:7" x14ac:dyDescent="0.25">
      <c r="A148" s="4" t="s">
        <v>173</v>
      </c>
      <c r="B148" s="4" t="s">
        <v>63</v>
      </c>
      <c r="C148" s="4" t="s">
        <v>63</v>
      </c>
      <c r="D148" s="4" t="s">
        <v>183</v>
      </c>
      <c r="E148" s="5" t="str">
        <f>Table1[[#This Row],[description]]</f>
        <v>EXIT</v>
      </c>
      <c r="F148" s="4" t="s">
        <v>191</v>
      </c>
      <c r="G148" s="7" t="e">
        <f>expand(Table1[[#This Row],[replacement]])</f>
        <v>#VALUE!</v>
      </c>
    </row>
    <row r="149" spans="1:7" x14ac:dyDescent="0.25">
      <c r="A149" s="4" t="s">
        <v>173</v>
      </c>
      <c r="B149" s="4" t="s">
        <v>121</v>
      </c>
      <c r="C149" s="1" t="s">
        <v>65</v>
      </c>
      <c r="D149" s="4" t="s">
        <v>121</v>
      </c>
      <c r="E149" s="5" t="str">
        <f>Table1[[#This Row],[description]]</f>
        <v>JE8</v>
      </c>
      <c r="F149" s="5" t="str">
        <f>"{IF:"&amp;getsize(Table1[[#This Row],[seq]])&amp;",\=\=}"</f>
        <v>{IF:B,\=\=}</v>
      </c>
      <c r="G149" s="7" t="e">
        <f>expand(Table1[[#This Row],[replacement]])</f>
        <v>#VALUE!</v>
      </c>
    </row>
    <row r="150" spans="1:7" x14ac:dyDescent="0.25">
      <c r="A150" s="4" t="s">
        <v>173</v>
      </c>
      <c r="B150" s="4" t="s">
        <v>121</v>
      </c>
      <c r="C150" s="2" t="s">
        <v>66</v>
      </c>
      <c r="D150" s="4" t="s">
        <v>121</v>
      </c>
      <c r="E150" s="5" t="str">
        <f>Table1[[#This Row],[description]]</f>
        <v>JE16</v>
      </c>
      <c r="F150" s="5" t="str">
        <f>"{IF:"&amp;getsize(Table1[[#This Row],[seq]])&amp;",\=\=}"</f>
        <v>{IF:I,\=\=}</v>
      </c>
      <c r="G150" s="7" t="e">
        <f>expand(Table1[[#This Row],[replacement]])</f>
        <v>#VALUE!</v>
      </c>
    </row>
    <row r="151" spans="1:7" x14ac:dyDescent="0.25">
      <c r="A151" s="4" t="s">
        <v>173</v>
      </c>
      <c r="B151" s="4" t="s">
        <v>121</v>
      </c>
      <c r="C151" s="2" t="s">
        <v>67</v>
      </c>
      <c r="D151" s="4" t="s">
        <v>121</v>
      </c>
      <c r="E151" s="5" t="str">
        <f>Table1[[#This Row],[description]]</f>
        <v>JE32</v>
      </c>
      <c r="F151" s="5" t="str">
        <f>"{IF:"&amp;getsize(Table1[[#This Row],[seq]])&amp;",\=\=}"</f>
        <v>{IF:W,\=\=}</v>
      </c>
      <c r="G151" s="7" t="e">
        <f>expand(Table1[[#This Row],[replacement]])</f>
        <v>#VALUE!</v>
      </c>
    </row>
    <row r="152" spans="1:7" x14ac:dyDescent="0.25">
      <c r="A152" s="4" t="s">
        <v>173</v>
      </c>
      <c r="B152" s="4" t="s">
        <v>121</v>
      </c>
      <c r="C152" s="1" t="s">
        <v>68</v>
      </c>
      <c r="D152" s="4" t="s">
        <v>121</v>
      </c>
      <c r="E152" s="5" t="str">
        <f>Table1[[#This Row],[description]]</f>
        <v>JNE8</v>
      </c>
      <c r="F152" s="5" t="str">
        <f>"{IF:"&amp;getsize(Table1[[#This Row],[seq]])&amp;",\!\=}"</f>
        <v>{IF:B,\!\=}</v>
      </c>
      <c r="G152" s="7" t="e">
        <f>expand(Table1[[#This Row],[replacement]])</f>
        <v>#VALUE!</v>
      </c>
    </row>
    <row r="153" spans="1:7" x14ac:dyDescent="0.25">
      <c r="A153" s="4" t="s">
        <v>173</v>
      </c>
      <c r="B153" s="4" t="s">
        <v>121</v>
      </c>
      <c r="C153" s="2" t="s">
        <v>69</v>
      </c>
      <c r="D153" s="4" t="s">
        <v>121</v>
      </c>
      <c r="E153" s="5" t="str">
        <f>Table1[[#This Row],[description]]</f>
        <v>JNE16</v>
      </c>
      <c r="F153" s="5" t="str">
        <f>"{IF:"&amp;getsize(Table1[[#This Row],[seq]])&amp;",\!\=}"</f>
        <v>{IF:I,\!\=}</v>
      </c>
      <c r="G153" s="7" t="e">
        <f>expand(Table1[[#This Row],[replacement]])</f>
        <v>#VALUE!</v>
      </c>
    </row>
    <row r="154" spans="1:7" x14ac:dyDescent="0.25">
      <c r="A154" s="4" t="s">
        <v>173</v>
      </c>
      <c r="B154" s="4" t="s">
        <v>121</v>
      </c>
      <c r="C154" s="2" t="s">
        <v>70</v>
      </c>
      <c r="D154" s="4" t="s">
        <v>121</v>
      </c>
      <c r="E154" s="5" t="str">
        <f>Table1[[#This Row],[description]]</f>
        <v>JNE32</v>
      </c>
      <c r="F154" s="5" t="str">
        <f>"{IF:"&amp;getsize(Table1[[#This Row],[seq]])&amp;",\!\=}"</f>
        <v>{IF:W,\!\=}</v>
      </c>
      <c r="G154" s="7" t="e">
        <f>expand(Table1[[#This Row],[replacement]])</f>
        <v>#VALUE!</v>
      </c>
    </row>
    <row r="155" spans="1:7" x14ac:dyDescent="0.25">
      <c r="A155" s="4" t="s">
        <v>173</v>
      </c>
      <c r="B155" s="4" t="s">
        <v>121</v>
      </c>
      <c r="C155" s="1" t="s">
        <v>71</v>
      </c>
      <c r="D155" s="4" t="s">
        <v>121</v>
      </c>
      <c r="E155" s="5" t="str">
        <f>Table1[[#This Row],[description]]</f>
        <v>JG8</v>
      </c>
      <c r="F155" s="5" t="str">
        <f>"{IF:"&amp;getsize(Table1[[#This Row],[seq]])&amp;",\&gt;}"</f>
        <v>{IF:B,\&gt;}</v>
      </c>
      <c r="G155" s="8" t="e">
        <f>expand(Table1[[#This Row],[replacement]])</f>
        <v>#VALUE!</v>
      </c>
    </row>
    <row r="156" spans="1:7" x14ac:dyDescent="0.25">
      <c r="A156" s="4" t="s">
        <v>173</v>
      </c>
      <c r="B156" s="4" t="s">
        <v>121</v>
      </c>
      <c r="C156" s="2" t="s">
        <v>72</v>
      </c>
      <c r="D156" s="4" t="s">
        <v>121</v>
      </c>
      <c r="E156" s="5" t="str">
        <f>Table1[[#This Row],[description]]</f>
        <v>JG16</v>
      </c>
      <c r="F156" s="5" t="str">
        <f>"{IF:"&amp;getsize(Table1[[#This Row],[seq]])&amp;",\&gt;}"</f>
        <v>{IF:I,\&gt;}</v>
      </c>
      <c r="G156" s="8" t="e">
        <f>expand(Table1[[#This Row],[replacement]])</f>
        <v>#VALUE!</v>
      </c>
    </row>
    <row r="157" spans="1:7" x14ac:dyDescent="0.25">
      <c r="A157" s="4" t="s">
        <v>173</v>
      </c>
      <c r="B157" s="4" t="s">
        <v>121</v>
      </c>
      <c r="C157" s="2" t="s">
        <v>73</v>
      </c>
      <c r="D157" s="4" t="s">
        <v>121</v>
      </c>
      <c r="E157" s="5" t="str">
        <f>Table1[[#This Row],[description]]</f>
        <v>JG32</v>
      </c>
      <c r="F157" s="5" t="str">
        <f>"{IF:"&amp;getsize(Table1[[#This Row],[seq]])&amp;",\&gt;}"</f>
        <v>{IF:W,\&gt;}</v>
      </c>
      <c r="G157" s="8" t="e">
        <f>expand(Table1[[#This Row],[replacement]])</f>
        <v>#VALUE!</v>
      </c>
    </row>
    <row r="158" spans="1:7" x14ac:dyDescent="0.25">
      <c r="A158" s="4" t="s">
        <v>173</v>
      </c>
      <c r="B158" s="4" t="s">
        <v>121</v>
      </c>
      <c r="C158" s="1" t="s">
        <v>77</v>
      </c>
      <c r="D158" s="4" t="s">
        <v>121</v>
      </c>
      <c r="E158" s="5" t="str">
        <f>Table1[[#This Row],[description]]</f>
        <v>JGE8</v>
      </c>
      <c r="F158" s="5" t="str">
        <f>"{IF:"&amp;getsize(Table1[[#This Row],[seq]])&amp;",\&gt;\=}"</f>
        <v>{IF:B,\&gt;\=}</v>
      </c>
      <c r="G158" s="8" t="e">
        <f>expand(Table1[[#This Row],[replacement]])</f>
        <v>#VALUE!</v>
      </c>
    </row>
    <row r="159" spans="1:7" x14ac:dyDescent="0.25">
      <c r="A159" s="4" t="s">
        <v>173</v>
      </c>
      <c r="B159" s="4" t="s">
        <v>121</v>
      </c>
      <c r="C159" s="2" t="s">
        <v>78</v>
      </c>
      <c r="D159" s="4" t="s">
        <v>121</v>
      </c>
      <c r="E159" s="5" t="str">
        <f>Table1[[#This Row],[description]]</f>
        <v>JGE16</v>
      </c>
      <c r="F159" s="5" t="str">
        <f>"{IF:"&amp;getsize(Table1[[#This Row],[seq]])&amp;",\&gt;\=}"</f>
        <v>{IF:I,\&gt;\=}</v>
      </c>
      <c r="G159" s="8" t="e">
        <f>expand(Table1[[#This Row],[replacement]])</f>
        <v>#VALUE!</v>
      </c>
    </row>
    <row r="160" spans="1:7" x14ac:dyDescent="0.25">
      <c r="A160" s="4" t="s">
        <v>173</v>
      </c>
      <c r="B160" s="4" t="s">
        <v>121</v>
      </c>
      <c r="C160" s="2" t="s">
        <v>79</v>
      </c>
      <c r="D160" s="4" t="s">
        <v>121</v>
      </c>
      <c r="E160" s="5" t="str">
        <f>Table1[[#This Row],[description]]</f>
        <v>JGE32</v>
      </c>
      <c r="F160" s="5" t="str">
        <f>"{IF:"&amp;getsize(Table1[[#This Row],[seq]])&amp;",\&gt;\=}"</f>
        <v>{IF:W,\&gt;\=}</v>
      </c>
      <c r="G160" s="8" t="e">
        <f>expand(Table1[[#This Row],[replacement]])</f>
        <v>#VALUE!</v>
      </c>
    </row>
    <row r="161" spans="1:7" x14ac:dyDescent="0.25">
      <c r="A161" s="4" t="s">
        <v>173</v>
      </c>
      <c r="B161" s="4" t="s">
        <v>121</v>
      </c>
      <c r="C161" s="1" t="s">
        <v>83</v>
      </c>
      <c r="D161" s="4" t="s">
        <v>121</v>
      </c>
      <c r="E161" s="5" t="str">
        <f>Table1[[#This Row],[description]]</f>
        <v>JL8</v>
      </c>
      <c r="F161" s="5" t="str">
        <f>"{IF:"&amp;getsize(Table1[[#This Row],[seq]])&amp;",\&lt;}"</f>
        <v>{IF:B,\&lt;}</v>
      </c>
      <c r="G161" s="8" t="e">
        <f>expand(Table1[[#This Row],[replacement]])</f>
        <v>#VALUE!</v>
      </c>
    </row>
    <row r="162" spans="1:7" x14ac:dyDescent="0.25">
      <c r="A162" s="4" t="s">
        <v>173</v>
      </c>
      <c r="B162" s="4" t="s">
        <v>121</v>
      </c>
      <c r="C162" s="2" t="s">
        <v>84</v>
      </c>
      <c r="D162" s="4" t="s">
        <v>121</v>
      </c>
      <c r="E162" s="5" t="str">
        <f>Table1[[#This Row],[description]]</f>
        <v>JL16</v>
      </c>
      <c r="F162" s="5" t="str">
        <f>"{IF:"&amp;getsize(Table1[[#This Row],[seq]])&amp;",\&lt;}"</f>
        <v>{IF:I,\&lt;}</v>
      </c>
      <c r="G162" s="8" t="e">
        <f>expand(Table1[[#This Row],[replacement]])</f>
        <v>#VALUE!</v>
      </c>
    </row>
    <row r="163" spans="1:7" x14ac:dyDescent="0.25">
      <c r="A163" s="4" t="s">
        <v>173</v>
      </c>
      <c r="B163" s="4" t="s">
        <v>121</v>
      </c>
      <c r="C163" s="2" t="s">
        <v>85</v>
      </c>
      <c r="D163" s="4" t="s">
        <v>121</v>
      </c>
      <c r="E163" s="5" t="str">
        <f>Table1[[#This Row],[description]]</f>
        <v>JL32</v>
      </c>
      <c r="F163" s="5" t="str">
        <f>"{IF:"&amp;getsize(Table1[[#This Row],[seq]])&amp;",\&lt;}"</f>
        <v>{IF:W,\&lt;}</v>
      </c>
      <c r="G163" s="8" t="e">
        <f>expand(Table1[[#This Row],[replacement]])</f>
        <v>#VALUE!</v>
      </c>
    </row>
    <row r="164" spans="1:7" x14ac:dyDescent="0.25">
      <c r="A164" s="4" t="s">
        <v>173</v>
      </c>
      <c r="B164" s="4" t="s">
        <v>121</v>
      </c>
      <c r="C164" s="1" t="s">
        <v>89</v>
      </c>
      <c r="D164" s="4" t="s">
        <v>121</v>
      </c>
      <c r="E164" s="5" t="str">
        <f>Table1[[#This Row],[description]]</f>
        <v>JLE8</v>
      </c>
      <c r="F164" s="5" t="str">
        <f>"{IF:"&amp;getsize(Table1[[#This Row],[seq]])&amp;",\&lt;\=}"</f>
        <v>{IF:B,\&lt;\=}</v>
      </c>
      <c r="G164" s="8" t="e">
        <f>expand(Table1[[#This Row],[replacement]])</f>
        <v>#VALUE!</v>
      </c>
    </row>
    <row r="165" spans="1:7" x14ac:dyDescent="0.25">
      <c r="A165" s="4" t="s">
        <v>173</v>
      </c>
      <c r="B165" s="4" t="s">
        <v>121</v>
      </c>
      <c r="C165" s="2" t="s">
        <v>90</v>
      </c>
      <c r="D165" s="4" t="s">
        <v>121</v>
      </c>
      <c r="E165" s="5" t="str">
        <f>Table1[[#This Row],[description]]</f>
        <v>JLE16</v>
      </c>
      <c r="F165" s="5" t="str">
        <f>"{IF:"&amp;getsize(Table1[[#This Row],[seq]])&amp;",\&lt;\=}"</f>
        <v>{IF:I,\&lt;\=}</v>
      </c>
      <c r="G165" s="8" t="e">
        <f>expand(Table1[[#This Row],[replacement]])</f>
        <v>#VALUE!</v>
      </c>
    </row>
    <row r="166" spans="1:7" x14ac:dyDescent="0.25">
      <c r="A166" s="4" t="s">
        <v>173</v>
      </c>
      <c r="B166" s="4" t="s">
        <v>121</v>
      </c>
      <c r="C166" s="2" t="s">
        <v>91</v>
      </c>
      <c r="D166" s="4" t="s">
        <v>121</v>
      </c>
      <c r="E166" s="5" t="str">
        <f>Table1[[#This Row],[description]]</f>
        <v>JLE32</v>
      </c>
      <c r="F166" s="5" t="str">
        <f>"{IF:"&amp;getsize(Table1[[#This Row],[seq]])&amp;",\&lt;\=}"</f>
        <v>{IF:W,\&lt;\=}</v>
      </c>
      <c r="G166" s="8" t="e">
        <f>expand(Table1[[#This Row],[replacement]])</f>
        <v>#VALUE!</v>
      </c>
    </row>
    <row r="167" spans="1:7" x14ac:dyDescent="0.25">
      <c r="A167" s="4" t="s">
        <v>173</v>
      </c>
      <c r="B167" s="9" t="s">
        <v>121</v>
      </c>
      <c r="C167" s="2" t="s">
        <v>249</v>
      </c>
      <c r="D167" s="4" t="s">
        <v>272</v>
      </c>
      <c r="E167" s="5" t="str">
        <f>Table1[[#This Row],[description]]</f>
        <v>JZ8</v>
      </c>
      <c r="F167" s="5" t="str">
        <f>"{IFZ:"&amp;getsize(Table1[[#This Row],[seq]])&amp;"}"</f>
        <v>{IFZ:B}</v>
      </c>
      <c r="G167" s="11" t="e">
        <f>expand(Table1[[#This Row],[replacement]])</f>
        <v>#VALUE!</v>
      </c>
    </row>
    <row r="168" spans="1:7" x14ac:dyDescent="0.25">
      <c r="A168" s="4" t="s">
        <v>173</v>
      </c>
      <c r="B168" s="9" t="s">
        <v>121</v>
      </c>
      <c r="C168" s="2" t="s">
        <v>250</v>
      </c>
      <c r="D168" s="4" t="s">
        <v>272</v>
      </c>
      <c r="E168" s="5" t="str">
        <f>Table1[[#This Row],[description]]</f>
        <v>JZ16</v>
      </c>
      <c r="F168" s="5" t="str">
        <f>"{IFZ:"&amp;getsize(Table1[[#This Row],[seq]])&amp;"}"</f>
        <v>{IFZ:I}</v>
      </c>
      <c r="G168" s="11" t="e">
        <f>expand(Table1[[#This Row],[replacement]])</f>
        <v>#VALUE!</v>
      </c>
    </row>
    <row r="169" spans="1:7" x14ac:dyDescent="0.25">
      <c r="A169" s="4" t="s">
        <v>173</v>
      </c>
      <c r="B169" s="9" t="s">
        <v>121</v>
      </c>
      <c r="C169" s="2" t="s">
        <v>251</v>
      </c>
      <c r="D169" s="4" t="s">
        <v>272</v>
      </c>
      <c r="E169" s="5" t="str">
        <f>Table1[[#This Row],[description]]</f>
        <v>JZ32</v>
      </c>
      <c r="F169" s="5" t="str">
        <f>"{IFNZ:"&amp;getsize(Table1[[#This Row],[seq]])&amp;"}"</f>
        <v>{IFNZ:W}</v>
      </c>
      <c r="G169" s="11" t="e">
        <f>expand(Table1[[#This Row],[replacement]])</f>
        <v>#VALUE!</v>
      </c>
    </row>
    <row r="170" spans="1:7" x14ac:dyDescent="0.25">
      <c r="A170" s="4" t="s">
        <v>173</v>
      </c>
      <c r="B170" s="9" t="s">
        <v>121</v>
      </c>
      <c r="C170" s="2" t="s">
        <v>252</v>
      </c>
      <c r="D170" s="4" t="s">
        <v>272</v>
      </c>
      <c r="E170" s="5" t="str">
        <f>Table1[[#This Row],[description]]</f>
        <v>JNZ8</v>
      </c>
      <c r="F170" s="5" t="str">
        <f>"{IFNZ:"&amp;getsize(Table1[[#This Row],[seq]])&amp;"}"</f>
        <v>{IFNZ:B}</v>
      </c>
      <c r="G170" s="11" t="e">
        <f>expand(Table1[[#This Row],[replacement]])</f>
        <v>#VALUE!</v>
      </c>
    </row>
    <row r="171" spans="1:7" x14ac:dyDescent="0.25">
      <c r="A171" s="4" t="s">
        <v>173</v>
      </c>
      <c r="B171" s="9" t="s">
        <v>121</v>
      </c>
      <c r="C171" s="2" t="s">
        <v>253</v>
      </c>
      <c r="D171" s="4" t="s">
        <v>272</v>
      </c>
      <c r="E171" s="5" t="str">
        <f>Table1[[#This Row],[description]]</f>
        <v>JNZ16</v>
      </c>
      <c r="F171" s="5" t="str">
        <f>"{IFNZ:"&amp;getsize(Table1[[#This Row],[seq]])&amp;"}"</f>
        <v>{IFNZ:I}</v>
      </c>
      <c r="G171" s="11" t="e">
        <f>expand(Table1[[#This Row],[replacement]])</f>
        <v>#VALUE!</v>
      </c>
    </row>
    <row r="172" spans="1:7" x14ac:dyDescent="0.25">
      <c r="A172" s="4" t="s">
        <v>173</v>
      </c>
      <c r="B172" s="9" t="s">
        <v>121</v>
      </c>
      <c r="C172" s="2" t="s">
        <v>254</v>
      </c>
      <c r="D172" s="4" t="s">
        <v>272</v>
      </c>
      <c r="E172" s="5" t="str">
        <f>Table1[[#This Row],[description]]</f>
        <v>JNZ32</v>
      </c>
      <c r="F172" s="5" t="str">
        <f>"{IFZ:"&amp;getsize(Table1[[#This Row],[seq]])&amp;"}"</f>
        <v>{IFZ:W}</v>
      </c>
      <c r="G172" s="11" t="e">
        <f>expand(Table1[[#This Row],[replacement]])</f>
        <v>#VALUE!</v>
      </c>
    </row>
    <row r="173" spans="1:7" x14ac:dyDescent="0.25">
      <c r="A173" s="4" t="s">
        <v>173</v>
      </c>
      <c r="B173" s="4" t="s">
        <v>192</v>
      </c>
      <c r="C173" s="1" t="s">
        <v>74</v>
      </c>
      <c r="D173" s="4" t="s">
        <v>121</v>
      </c>
      <c r="E173" s="5" t="str">
        <f>Table1[[#This Row],[description]]</f>
        <v>JGS8</v>
      </c>
      <c r="F173" s="5" t="str">
        <f>"{IFS:"&amp;getsize(Table1[[#This Row],[seq]])&amp;",\&gt;}"</f>
        <v>{IFS:B,\&gt;}</v>
      </c>
      <c r="G173" s="8" t="e">
        <f>expand(Table1[[#This Row],[replacement]])</f>
        <v>#VALUE!</v>
      </c>
    </row>
    <row r="174" spans="1:7" x14ac:dyDescent="0.25">
      <c r="A174" s="4" t="s">
        <v>173</v>
      </c>
      <c r="B174" s="4" t="s">
        <v>192</v>
      </c>
      <c r="C174" s="2" t="s">
        <v>75</v>
      </c>
      <c r="D174" s="4" t="s">
        <v>121</v>
      </c>
      <c r="E174" s="5" t="str">
        <f>Table1[[#This Row],[description]]</f>
        <v>JGS16</v>
      </c>
      <c r="F174" s="5" t="str">
        <f>"{IFS:"&amp;getsize(Table1[[#This Row],[seq]])&amp;",\&gt;}"</f>
        <v>{IFS:I,\&gt;}</v>
      </c>
      <c r="G174" s="8" t="e">
        <f>expand(Table1[[#This Row],[replacement]])</f>
        <v>#VALUE!</v>
      </c>
    </row>
    <row r="175" spans="1:7" x14ac:dyDescent="0.25">
      <c r="A175" s="4" t="s">
        <v>173</v>
      </c>
      <c r="B175" s="4" t="s">
        <v>192</v>
      </c>
      <c r="C175" s="2" t="s">
        <v>76</v>
      </c>
      <c r="D175" s="4" t="s">
        <v>121</v>
      </c>
      <c r="E175" s="5" t="str">
        <f>Table1[[#This Row],[description]]</f>
        <v>JGS32</v>
      </c>
      <c r="F175" s="5" t="str">
        <f>"{IFS:"&amp;getsize(Table1[[#This Row],[seq]])&amp;",\&gt;}"</f>
        <v>{IFS:W,\&gt;}</v>
      </c>
      <c r="G175" s="8" t="e">
        <f>expand(Table1[[#This Row],[replacement]])</f>
        <v>#VALUE!</v>
      </c>
    </row>
    <row r="176" spans="1:7" x14ac:dyDescent="0.25">
      <c r="A176" s="4" t="s">
        <v>173</v>
      </c>
      <c r="B176" s="4" t="s">
        <v>192</v>
      </c>
      <c r="C176" s="1" t="s">
        <v>80</v>
      </c>
      <c r="D176" s="4" t="s">
        <v>121</v>
      </c>
      <c r="E176" s="5" t="str">
        <f>Table1[[#This Row],[description]]</f>
        <v>JGES8</v>
      </c>
      <c r="F176" s="5" t="str">
        <f>"{IFS:"&amp;getsize(Table1[[#This Row],[seq]])&amp;",\&gt;\=}"</f>
        <v>{IFS:B,\&gt;\=}</v>
      </c>
      <c r="G176" s="8" t="e">
        <f>expand(Table1[[#This Row],[replacement]])</f>
        <v>#VALUE!</v>
      </c>
    </row>
    <row r="177" spans="1:7" x14ac:dyDescent="0.25">
      <c r="A177" s="4" t="s">
        <v>173</v>
      </c>
      <c r="B177" s="4" t="s">
        <v>192</v>
      </c>
      <c r="C177" s="2" t="s">
        <v>81</v>
      </c>
      <c r="D177" s="4" t="s">
        <v>121</v>
      </c>
      <c r="E177" s="5" t="str">
        <f>Table1[[#This Row],[description]]</f>
        <v>JGES16</v>
      </c>
      <c r="F177" s="5" t="str">
        <f>"{IFS:"&amp;getsize(Table1[[#This Row],[seq]])&amp;",\&gt;\=}"</f>
        <v>{IFS:I,\&gt;\=}</v>
      </c>
      <c r="G177" s="8" t="e">
        <f>expand(Table1[[#This Row],[replacement]])</f>
        <v>#VALUE!</v>
      </c>
    </row>
    <row r="178" spans="1:7" x14ac:dyDescent="0.25">
      <c r="A178" s="4" t="s">
        <v>173</v>
      </c>
      <c r="B178" s="4" t="s">
        <v>192</v>
      </c>
      <c r="C178" s="2" t="s">
        <v>82</v>
      </c>
      <c r="D178" s="4" t="s">
        <v>121</v>
      </c>
      <c r="E178" s="5" t="str">
        <f>Table1[[#This Row],[description]]</f>
        <v>JGES32</v>
      </c>
      <c r="F178" s="5" t="str">
        <f>"{IFS:"&amp;getsize(Table1[[#This Row],[seq]])&amp;",\&gt;\=}"</f>
        <v>{IFS:W,\&gt;\=}</v>
      </c>
      <c r="G178" s="8" t="e">
        <f>expand(Table1[[#This Row],[replacement]])</f>
        <v>#VALUE!</v>
      </c>
    </row>
    <row r="179" spans="1:7" x14ac:dyDescent="0.25">
      <c r="A179" s="4" t="s">
        <v>173</v>
      </c>
      <c r="B179" s="4" t="s">
        <v>192</v>
      </c>
      <c r="C179" s="1" t="s">
        <v>86</v>
      </c>
      <c r="D179" s="4" t="s">
        <v>121</v>
      </c>
      <c r="E179" s="5" t="str">
        <f>Table1[[#This Row],[description]]</f>
        <v>JLS8</v>
      </c>
      <c r="F179" s="5" t="str">
        <f>"{IFS:"&amp;getsize(Table1[[#This Row],[seq]])&amp;",\&lt;}"</f>
        <v>{IFS:B,\&lt;}</v>
      </c>
      <c r="G179" s="8" t="e">
        <f>expand(Table1[[#This Row],[replacement]])</f>
        <v>#VALUE!</v>
      </c>
    </row>
    <row r="180" spans="1:7" x14ac:dyDescent="0.25">
      <c r="A180" s="4" t="s">
        <v>173</v>
      </c>
      <c r="B180" s="4" t="s">
        <v>192</v>
      </c>
      <c r="C180" s="2" t="s">
        <v>87</v>
      </c>
      <c r="D180" s="4" t="s">
        <v>121</v>
      </c>
      <c r="E180" s="5" t="str">
        <f>Table1[[#This Row],[description]]</f>
        <v>JLS16</v>
      </c>
      <c r="F180" s="5" t="str">
        <f>"{IFS:"&amp;getsize(Table1[[#This Row],[seq]])&amp;",\&lt;}"</f>
        <v>{IFS:I,\&lt;}</v>
      </c>
      <c r="G180" s="8" t="e">
        <f>expand(Table1[[#This Row],[replacement]])</f>
        <v>#VALUE!</v>
      </c>
    </row>
    <row r="181" spans="1:7" x14ac:dyDescent="0.25">
      <c r="A181" s="4" t="s">
        <v>173</v>
      </c>
      <c r="B181" s="4" t="s">
        <v>192</v>
      </c>
      <c r="C181" s="2" t="s">
        <v>88</v>
      </c>
      <c r="D181" s="4" t="s">
        <v>121</v>
      </c>
      <c r="E181" s="5" t="str">
        <f>Table1[[#This Row],[description]]</f>
        <v>JLS32</v>
      </c>
      <c r="F181" s="5" t="str">
        <f>"{IFS:"&amp;getsize(Table1[[#This Row],[seq]])&amp;",\&lt;}"</f>
        <v>{IFS:W,\&lt;}</v>
      </c>
      <c r="G181" s="8" t="e">
        <f>expand(Table1[[#This Row],[replacement]])</f>
        <v>#VALUE!</v>
      </c>
    </row>
    <row r="182" spans="1:7" x14ac:dyDescent="0.25">
      <c r="A182" s="4" t="s">
        <v>173</v>
      </c>
      <c r="B182" s="4" t="s">
        <v>192</v>
      </c>
      <c r="C182" s="1" t="s">
        <v>92</v>
      </c>
      <c r="D182" s="4" t="s">
        <v>121</v>
      </c>
      <c r="E182" s="5" t="str">
        <f>Table1[[#This Row],[description]]</f>
        <v>JLES8</v>
      </c>
      <c r="F182" s="5" t="str">
        <f>"{IFS:"&amp;getsize(Table1[[#This Row],[seq]])&amp;",\&lt;\=}"</f>
        <v>{IFS:B,\&lt;\=}</v>
      </c>
      <c r="G182" s="8" t="e">
        <f>expand(Table1[[#This Row],[replacement]])</f>
        <v>#VALUE!</v>
      </c>
    </row>
    <row r="183" spans="1:7" x14ac:dyDescent="0.25">
      <c r="A183" s="4" t="s">
        <v>173</v>
      </c>
      <c r="B183" s="4" t="s">
        <v>192</v>
      </c>
      <c r="C183" s="2" t="s">
        <v>93</v>
      </c>
      <c r="D183" s="4" t="s">
        <v>121</v>
      </c>
      <c r="E183" s="5" t="str">
        <f>Table1[[#This Row],[description]]</f>
        <v>JLES16</v>
      </c>
      <c r="F183" s="5" t="str">
        <f>"{IFS:"&amp;getsize(Table1[[#This Row],[seq]])&amp;",\&lt;\=}"</f>
        <v>{IFS:I,\&lt;\=}</v>
      </c>
      <c r="G183" s="8" t="e">
        <f>expand(Table1[[#This Row],[replacement]])</f>
        <v>#VALUE!</v>
      </c>
    </row>
    <row r="184" spans="1:7" x14ac:dyDescent="0.25">
      <c r="A184" s="4" t="s">
        <v>173</v>
      </c>
      <c r="B184" s="4" t="s">
        <v>192</v>
      </c>
      <c r="C184" s="3" t="s">
        <v>94</v>
      </c>
      <c r="D184" s="4" t="s">
        <v>121</v>
      </c>
      <c r="E184" s="5" t="str">
        <f>Table1[[#This Row],[description]]</f>
        <v>JLES32</v>
      </c>
      <c r="F184" s="5" t="str">
        <f>"{IFS:"&amp;getsize(Table1[[#This Row],[seq]])&amp;",\&lt;\=}"</f>
        <v>{IFS:W,\&lt;\=}</v>
      </c>
      <c r="G184" s="8" t="e">
        <f>expand(Table1[[#This Row],[replacement]])</f>
        <v>#VALUE!</v>
      </c>
    </row>
    <row r="185" spans="1:7" x14ac:dyDescent="0.25">
      <c r="A185" s="4" t="s">
        <v>173</v>
      </c>
      <c r="B185" s="4" t="s">
        <v>241</v>
      </c>
      <c r="C185" s="4" t="s">
        <v>55</v>
      </c>
      <c r="D185" s="4" t="s">
        <v>241</v>
      </c>
      <c r="E185" s="4" t="s">
        <v>241</v>
      </c>
      <c r="F185" s="4" t="s">
        <v>267</v>
      </c>
      <c r="G185" s="8" t="e">
        <f>expand(Table1[[#This Row],[replacement]])</f>
        <v>#VALUE!</v>
      </c>
    </row>
    <row r="186" spans="1:7" x14ac:dyDescent="0.25">
      <c r="A186" s="4" t="s">
        <v>173</v>
      </c>
      <c r="B186" s="4" t="s">
        <v>247</v>
      </c>
      <c r="C186" s="4" t="s">
        <v>55</v>
      </c>
      <c r="D186" s="4" t="s">
        <v>247</v>
      </c>
      <c r="E186" s="4" t="s">
        <v>247</v>
      </c>
      <c r="F186" s="4" t="s">
        <v>281</v>
      </c>
      <c r="G186" s="8" t="e">
        <f>expand(Table1[[#This Row],[replacement]])</f>
        <v>#VALUE!</v>
      </c>
    </row>
    <row r="187" spans="1:7" x14ac:dyDescent="0.25">
      <c r="A187" s="17"/>
      <c r="B187" s="17"/>
      <c r="C187" s="17"/>
      <c r="D187" s="17"/>
      <c r="E187" s="17"/>
      <c r="F187" s="18"/>
      <c r="G187" s="1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_al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228600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C1" sqref="C1"/>
    </sheetView>
  </sheetViews>
  <sheetFormatPr defaultRowHeight="15" x14ac:dyDescent="0.25"/>
  <cols>
    <col min="1" max="2" width="13.85546875" bestFit="1" customWidth="1"/>
  </cols>
  <sheetData>
    <row r="1" spans="1:2" x14ac:dyDescent="0.25">
      <c r="A1" t="s">
        <v>95</v>
      </c>
      <c r="B1" t="s">
        <v>328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reptable</vt:lpstr>
      <vt:lpstr>Sheet1</vt:lpstr>
      <vt:lpstr>reptable</vt:lpstr>
    </vt:vector>
  </TitlesOfParts>
  <Company>Akamai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Peletier</dc:creator>
  <cp:lastModifiedBy>Javier Peletier</cp:lastModifiedBy>
  <dcterms:created xsi:type="dcterms:W3CDTF">2014-07-09T22:25:43Z</dcterms:created>
  <dcterms:modified xsi:type="dcterms:W3CDTF">2015-02-04T20:49:52Z</dcterms:modified>
</cp:coreProperties>
</file>